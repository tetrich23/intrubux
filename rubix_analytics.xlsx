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⏱ Czasy odpowiedzi" sheetId="2" state="visible" r:id="rId4"/>
    <sheet name="💰 Tokeny &amp; Koszty" sheetId="3" state="visible" r:id="rId5"/>
    <sheet name="📋 Logi zdarzeń" sheetId="4" state="visible" r:id="rId6"/>
    <sheet name="⚠️ Błędy" sheetId="5" state="visible" r:id="rId7"/>
  </sheets>
  <definedNames>
    <definedName function="false" hidden="true" localSheetId="3" name="_xlnm._FilterDatabase" vbProcedure="false">'📋 Logi zdarzeń'!$B$6:$J$46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<sst xmlns="http://schemas.openxmlformats.org/spreadsheetml/2006/main" count="324" uniqueCount="128">
  <si>
    <t xml:space="preserve">RUBIX SMART SEARCH  ·  DEVELOPER ANALYTICS REPORT</t>
  </si>
  <si>
    <t xml:space="preserve">Wygenerowano: 02.07.2026 07:26  ·  Łącznie zdarzeń: 40  ·  Okres: ostatnie 40 operacji</t>
  </si>
  <si>
    <t xml:space="preserve">WYWOŁANIA API</t>
  </si>
  <si>
    <t xml:space="preserve">ŚR. CZAS ODPOW.</t>
  </si>
  <si>
    <t xml:space="preserve">SKUTECZNOŚĆ</t>
  </si>
  <si>
    <t xml:space="preserve">KOSZT API (EST.)</t>
  </si>
  <si>
    <t xml:space="preserve">10.83s</t>
  </si>
  <si>
    <t xml:space="preserve">83%</t>
  </si>
  <si>
    <t xml:space="preserve">$0.9177</t>
  </si>
  <si>
    <t xml:space="preserve">🔍 25  💬 10  📷 5</t>
  </si>
  <si>
    <t xml:space="preserve">Search 16.0s  ·  Chat 1.6s</t>
  </si>
  <si>
    <t xml:space="preserve">19/23 wyszukiwań z ofertami</t>
  </si>
  <si>
    <t xml:space="preserve">169 631 tokenów łącznie</t>
  </si>
  <si>
    <t xml:space="preserve">BŁĘDY</t>
  </si>
  <si>
    <t xml:space="preserve">TOKENY WEJŚCIE</t>
  </si>
  <si>
    <t xml:space="preserve">TOKENY WYJŚCIE</t>
  </si>
  <si>
    <t xml:space="preserve">WEB SEARCHES</t>
  </si>
  <si>
    <t xml:space="preserve">135 561</t>
  </si>
  <si>
    <t xml:space="preserve">34 070</t>
  </si>
  <si>
    <t xml:space="preserve">8% współczynnik błędów</t>
  </si>
  <si>
    <t xml:space="preserve">$0.4067 koszt</t>
  </si>
  <si>
    <t xml:space="preserve">$0.5111 koszt</t>
  </si>
  <si>
    <t xml:space="preserve">~4.6 / wyszukiwanie</t>
  </si>
  <si>
    <t xml:space="preserve">  🔗  JAKOŚĆ LINKÓW DO OFERT</t>
  </si>
  <si>
    <t xml:space="preserve">Metryka</t>
  </si>
  <si>
    <t xml:space="preserve">Wartość</t>
  </si>
  <si>
    <t xml:space="preserve">Udział %</t>
  </si>
  <si>
    <t xml:space="preserve">Status</t>
  </si>
  <si>
    <t xml:space="preserve">Bezpośredni link do oferty</t>
  </si>
  <si>
    <t xml:space="preserve">✓ Dobry</t>
  </si>
  <si>
    <t xml:space="preserve">Fallback (Google search)</t>
  </si>
  <si>
    <t xml:space="preserve">ℹ Info</t>
  </si>
  <si>
    <t xml:space="preserve">ŁĄCZNIE</t>
  </si>
  <si>
    <t xml:space="preserve">⏱  ANALIZA CZASU ODPOWIEDZI  —  RUBIX SMART SEARCH</t>
  </si>
  <si>
    <t xml:space="preserve">  PODSUMOWANIE CZASÓW WG TYPU OPERACJI</t>
  </si>
  <si>
    <t xml:space="preserve">Typ operacji</t>
  </si>
  <si>
    <t xml:space="preserve">Liczba wywołań</t>
  </si>
  <si>
    <t xml:space="preserve">Śr. czas (ms)</t>
  </si>
  <si>
    <t xml:space="preserve">Min (ms)</t>
  </si>
  <si>
    <t xml:space="preserve">Max (ms)</t>
  </si>
  <si>
    <t xml:space="preserve">Śr. czas (s)</t>
  </si>
  <si>
    <t xml:space="preserve">🔍 Wyszukiwanie</t>
  </si>
  <si>
    <t xml:space="preserve">💬 Czat AI</t>
  </si>
  <si>
    <t xml:space="preserve">📷 Rozpoznawanie zdjęć</t>
  </si>
  <si>
    <t xml:space="preserve">✦ Wszystkie razem</t>
  </si>
  <si>
    <t xml:space="preserve">  OSTATNIE 20 WYWOŁAŃ — TIMELINE</t>
  </si>
  <si>
    <t xml:space="preserve">Czas</t>
  </si>
  <si>
    <t xml:space="preserve">Typ</t>
  </si>
  <si>
    <t xml:space="preserve">Opis</t>
  </si>
  <si>
    <t xml:space="preserve">Czas trwania (ms)</t>
  </si>
  <si>
    <t xml:space="preserve">Web searches</t>
  </si>
  <si>
    <t xml:space="preserve">01.07 07:26:21</t>
  </si>
  <si>
    <t xml:space="preserve">🔍 Search</t>
  </si>
  <si>
    <t xml:space="preserve">łożysko SKF 6205</t>
  </si>
  <si>
    <t xml:space="preserve">✓ OK</t>
  </si>
  <si>
    <t xml:space="preserve">01.07 07:59:41</t>
  </si>
  <si>
    <t xml:space="preserve">wiertarka Bosch 18V</t>
  </si>
  <si>
    <t xml:space="preserve">01.07 08:33:01</t>
  </si>
  <si>
    <t xml:space="preserve">klej epoksydowy</t>
  </si>
  <si>
    <t xml:space="preserve">01.07 09:06:21</t>
  </si>
  <si>
    <t xml:space="preserve">💬 Chat</t>
  </si>
  <si>
    <t xml:space="preserve">Jak szukać po zdjęciu?</t>
  </si>
  <si>
    <t xml:space="preserve">01.07 09:39:41</t>
  </si>
  <si>
    <t xml:space="preserve">📷 Image</t>
  </si>
  <si>
    <t xml:space="preserve">📷 zdjęcie</t>
  </si>
  <si>
    <t xml:space="preserve">01.07 10:13:01</t>
  </si>
  <si>
    <t xml:space="preserve">śruba M8 nierdzewna</t>
  </si>
  <si>
    <t xml:space="preserve">01.07 10:46:21</t>
  </si>
  <si>
    <t xml:space="preserve">zamienniki MRO?</t>
  </si>
  <si>
    <t xml:space="preserve">01.07 11:19:41</t>
  </si>
  <si>
    <t xml:space="preserve">filtr hydrauliczny Parker</t>
  </si>
  <si>
    <t xml:space="preserve">01.07 11:53:01</t>
  </si>
  <si>
    <t xml:space="preserve">01.07 12:26:21</t>
  </si>
  <si>
    <t xml:space="preserve">01.07 12:59:41</t>
  </si>
  <si>
    <t xml:space="preserve">01.07 13:33:01</t>
  </si>
  <si>
    <t xml:space="preserve">01.07 14:06:21</t>
  </si>
  <si>
    <t xml:space="preserve">01.07 14:39:41</t>
  </si>
  <si>
    <t xml:space="preserve">01.07 15:13:01</t>
  </si>
  <si>
    <t xml:space="preserve">01.07 15:46:21</t>
  </si>
  <si>
    <t xml:space="preserve">01.07 16:19:41</t>
  </si>
  <si>
    <t xml:space="preserve">01.07 16:53:01</t>
  </si>
  <si>
    <t xml:space="preserve">01.07 18:33:01</t>
  </si>
  <si>
    <t xml:space="preserve">01.07 19:06:21</t>
  </si>
  <si>
    <t xml:space="preserve">💰  TOKENY &amp; KOSZTY API  —  RUBIX SMART SEARCH</t>
  </si>
  <si>
    <t xml:space="preserve">  PODSUMOWANIE ZUŻYCIA TOKENÓW</t>
  </si>
  <si>
    <t xml:space="preserve">Tokeny wejście</t>
  </si>
  <si>
    <t xml:space="preserve">Tokeny wyjście</t>
  </si>
  <si>
    <t xml:space="preserve">Łącznie</t>
  </si>
  <si>
    <t xml:space="preserve">Koszt USD</t>
  </si>
  <si>
    <t xml:space="preserve">📷 Obrazy</t>
  </si>
  <si>
    <t xml:space="preserve">  ZAŁOŻENIA CENOWE (Claude Sonnet 4.6)</t>
  </si>
  <si>
    <t xml:space="preserve">Parametr</t>
  </si>
  <si>
    <t xml:space="preserve">Jednostka</t>
  </si>
  <si>
    <t xml:space="preserve">Notatka</t>
  </si>
  <si>
    <t xml:space="preserve">Cena tokenów wejściowych</t>
  </si>
  <si>
    <t xml:space="preserve">USD / 1M tokenów</t>
  </si>
  <si>
    <t xml:space="preserve">Claude Sonnet 4.6 — szacunkowe</t>
  </si>
  <si>
    <t xml:space="preserve">Cena tokenów wyjściowych</t>
  </si>
  <si>
    <t xml:space="preserve">Tokeny wejściowe (łącznie)</t>
  </si>
  <si>
    <t xml:space="preserve">tokenów</t>
  </si>
  <si>
    <t xml:space="preserve">Z logów sesji</t>
  </si>
  <si>
    <t xml:space="preserve">Tokeny wyjściowe (łącznie)</t>
  </si>
  <si>
    <t xml:space="preserve">Szacowany koszt całkowity</t>
  </si>
  <si>
    <t xml:space="preserve">USD</t>
  </si>
  <si>
    <t xml:space="preserve">Obliczono z tokenów × ceny</t>
  </si>
  <si>
    <t xml:space="preserve">Kategoria</t>
  </si>
  <si>
    <t xml:space="preserve">Tokeny</t>
  </si>
  <si>
    <t xml:space="preserve">Wejściowe</t>
  </si>
  <si>
    <t xml:space="preserve">Wyjściowe</t>
  </si>
  <si>
    <t xml:space="preserve">📋  PEŁNE LOGI ZDARZEŃ  —  RUBIX SMART SEARCH</t>
  </si>
  <si>
    <t xml:space="preserve">  WSZYSTKIE ZDARZENIA (40 rekordów)  ·  max. 200 w pamięci</t>
  </si>
  <si>
    <t xml:space="preserve">Data i czas</t>
  </si>
  <si>
    <t xml:space="preserve">Oferty</t>
  </si>
  <si>
    <t xml:space="preserve">Link bezpośredni</t>
  </si>
  <si>
    <t xml:space="preserve">—</t>
  </si>
  <si>
    <t xml:space="preserve">⚠️  ANALIZA BŁĘDÓW  —  RUBIX SMART SEARCH</t>
  </si>
  <si>
    <t xml:space="preserve">  BŁĘDY WG TYPU</t>
  </si>
  <si>
    <t xml:space="preserve">Typ błędu</t>
  </si>
  <si>
    <t xml:space="preserve">Liczba</t>
  </si>
  <si>
    <t xml:space="preserve">Rekomendacja</t>
  </si>
  <si>
    <t xml:space="preserve">Błąd sieci</t>
  </si>
  <si>
    <t xml:space="preserve">Sprawdź połączenie internetowe</t>
  </si>
  <si>
    <t xml:space="preserve">Błąd parsowania JSON</t>
  </si>
  <si>
    <t xml:space="preserve">Sprawdź prompt — AI zwróciło nieprawidłowy JSON</t>
  </si>
  <si>
    <t xml:space="preserve">  SZCZEGÓŁOWE LOGI BŁĘDÓW (3 rekordów)</t>
  </si>
  <si>
    <t xml:space="preserve">01.07.2026 17:26:21</t>
  </si>
  <si>
    <t xml:space="preserve">01.07.2026 17:59:41</t>
  </si>
  <si>
    <t xml:space="preserve">02.07.2026 01:13:01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</si>
</sst>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#,##0"/>
    <numFmt numFmtId="168" formatCode="#,##0.00"/>
    <numFmt numFmtId="169" formatCode="\$#,##0.0000"/>
    <numFmt numFmtId="170" formatCode="dd\.mm\.yyyy\ hh:mm:ss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9A800"/>
      <name val="Arial"/>
      <family val="0"/>
      <charset val="1"/>
    </font>
    <font>
      <sz val="9"/>
      <color rgb="FFB0AEA6"/>
      <name val="Arial"/>
      <family val="0"/>
      <charset val="1"/>
    </font>
    <font>
      <b val="true"/>
      <sz val="8"/>
      <color rgb="FFB0AEA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8"/>
      <color rgb="FFB0AEA6"/>
      <name val="Arial"/>
      <family val="0"/>
      <charset val="1"/>
    </font>
    <font>
      <b val="true"/>
      <sz val="10"/>
      <color rgb="FFF5E98A"/>
      <name val="Arial"/>
      <family val="0"/>
      <charset val="1"/>
    </font>
    <font>
      <b val="true"/>
      <sz val="9"/>
      <color rgb="FFF5E98A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C9A800"/>
      <name val="Arial"/>
      <family val="0"/>
      <charset val="1"/>
    </font>
    <font>
      <b val="true"/>
      <sz val="10"/>
      <color rgb="FF4CAF50"/>
      <name val="Arial"/>
      <family val="0"/>
      <charset val="1"/>
    </font>
    <font>
      <b val="true"/>
      <sz val="10"/>
      <color rgb="FFB0AEA6"/>
      <name val="Arial"/>
      <family val="0"/>
      <charset val="1"/>
    </font>
    <font>
      <b val="true"/>
      <sz val="15"/>
      <color rgb="FFC9A8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4CAF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i val="true"/>
      <sz val="9"/>
      <color rgb="FFB0AEA6"/>
      <name val="Arial"/>
      <family val="0"/>
      <charset val="1"/>
    </font>
    <font>
      <sz val="9"/>
      <color rgb="FF5A5A56"/>
      <name val="Arial"/>
      <family val="0"/>
      <charset val="1"/>
    </font>
    <font>
      <sz val="10"/>
      <color rgb="FFC9A800"/>
      <name val="Arial"/>
      <family val="0"/>
      <charset val="1"/>
    </font>
    <font>
      <sz val="9"/>
      <color rgb="FFC9A800"/>
      <name val="Arial"/>
      <family val="0"/>
      <charset val="1"/>
    </font>
    <font>
      <sz val="9"/>
      <color rgb="FF4CAF50"/>
      <name val="Arial"/>
      <family val="0"/>
      <charset val="1"/>
    </font>
    <font>
      <sz val="9"/>
      <color rgb="FF818CF8"/>
      <name val="Arial"/>
      <family val="0"/>
      <charset val="1"/>
    </font>
    <font>
      <sz val="9"/>
      <color rgb="FFEC4899"/>
      <name val="Arial"/>
      <family val="0"/>
      <charset val="1"/>
    </font>
    <font>
      <sz val="9"/>
      <color rgb="FFE05040"/>
      <name val="Arial"/>
      <family val="0"/>
      <charset val="1"/>
    </font>
    <font>
      <sz val="10"/>
      <color rgb="FFE05040"/>
      <name val="Arial"/>
      <family val="0"/>
      <charset val="1"/>
    </font>
    <font>
      <sz val="10"/>
      <color rgb="FFE07820"/>
      <name val="Arial"/>
      <family val="0"/>
      <charset val="1"/>
    </font>
    <font>
      <sz val="10"/>
      <color rgb="FFB0AEA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18"/>
        <bgColor rgb="FF232320"/>
      </patternFill>
    </fill>
    <fill>
      <patternFill patternType="solid">
        <fgColor rgb="FFC9A800"/>
        <bgColor rgb="FFA88900"/>
      </patternFill>
    </fill>
    <fill>
      <patternFill patternType="solid">
        <fgColor rgb="FF2A2A26"/>
        <bgColor rgb="FF232320"/>
      </patternFill>
    </fill>
    <fill>
      <patternFill patternType="solid">
        <fgColor rgb="FF4CAF50"/>
        <bgColor rgb="FF878787"/>
      </patternFill>
    </fill>
    <fill>
      <patternFill patternType="solid">
        <fgColor rgb="FF2563EB"/>
        <bgColor rgb="FF0066CC"/>
      </patternFill>
    </fill>
    <fill>
      <patternFill patternType="solid">
        <fgColor rgb="FFE07820"/>
        <bgColor rgb="FFE05040"/>
      </patternFill>
    </fill>
    <fill>
      <patternFill patternType="solid">
        <fgColor rgb="FFE05040"/>
        <bgColor rgb="FFEC4899"/>
      </patternFill>
    </fill>
    <fill>
      <patternFill patternType="solid">
        <fgColor rgb="FF9333EA"/>
        <bgColor rgb="FF800080"/>
      </patternFill>
    </fill>
    <fill>
      <patternFill patternType="solid">
        <fgColor rgb="FF3D3D38"/>
        <bgColor rgb="FF2A2A26"/>
      </patternFill>
    </fill>
    <fill>
      <patternFill patternType="solid">
        <fgColor rgb="FF232320"/>
        <bgColor rgb="FF2A1F1E"/>
      </patternFill>
    </fill>
    <fill>
      <patternFill patternType="solid">
        <fgColor rgb="FF2A1F1E"/>
        <bgColor rgb="FF2323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00"/>
      </bottom>
      <diagonal/>
    </border>
    <border diagonalUp="false" diagonalDown="false"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32320"/>
          <bgColor rgb="FF000000"/>
        </patternFill>
      </fill>
    </dxf>
    <dxf>
      <fill>
        <patternFill patternType="solid">
          <fgColor rgb="FF2A1F1E"/>
          <bgColor rgb="FF000000"/>
        </patternFill>
      </fill>
    </dxf>
    <dxf>
      <fill>
        <patternFill patternType="solid">
          <fgColor rgb="FF2A2A26"/>
          <bgColor rgb="FF000000"/>
        </patternFill>
      </fill>
    </dxf>
    <dxf>
      <fill>
        <patternFill patternType="solid">
          <fgColor rgb="FFF5E9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8CF8"/>
          <bgColor rgb="FF000000"/>
        </patternFill>
      </fill>
    </dxf>
    <dxf>
      <fill>
        <patternFill patternType="solid">
          <fgColor rgb="FFC9A800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05040"/>
          <bgColor rgb="FF000000"/>
        </patternFill>
      </fill>
    </dxf>
    <dxf>
      <fill>
        <patternFill patternType="solid">
          <fgColor rgb="FFB0AEA6"/>
          <bgColor rgb="FF000000"/>
        </patternFill>
      </fill>
    </dxf>
    <dxf>
      <fill>
        <patternFill patternType="solid">
          <fgColor rgb="FF4CAF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900"/>
      <rgbColor rgb="FF800080"/>
      <rgbColor rgb="FF008080"/>
      <rgbColor rgb="FFD0CEC8"/>
      <rgbColor rgb="FF878787"/>
      <rgbColor rgb="FF818CF8"/>
      <rgbColor rgb="FF9333EA"/>
      <rgbColor rgb="FFF9F9F9"/>
      <rgbColor rgb="FFCCFFFF"/>
      <rgbColor rgb="FF660066"/>
      <rgbColor rgb="FFEC489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98A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C9A800"/>
      <rgbColor rgb="FFE07820"/>
      <rgbColor rgb="FF5A5A56"/>
      <rgbColor rgb="FFB0AEA6"/>
      <rgbColor rgb="FF2A1F1E"/>
      <rgbColor rgb="FF4CAF50"/>
      <rgbColor rgb="FF1A1A18"/>
      <rgbColor rgb="FF232320"/>
      <rgbColor rgb="FF993300"/>
      <rgbColor rgb="FFE05040"/>
      <rgbColor rgb="FF3D3D38"/>
      <rgbColor rgb="FF2A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Średni czas odpowiedzi wg typu operacji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'⏱ Czasy odpowiedzi'!C40</c:f>
              <c:strCache>
                <c:ptCount val="1"/>
                <c:pt idx="0">
                  <c:v>Śr. czas (ms)</c:v>
                </c:pt>
              </c:strCache>
            </c:strRef>
          </c:tx>
          <c:spPr>
            <a:solidFill>
              <a:srgbClr val="c9a800"/>
            </a:solidFill>
            <a:ln w="9360">
              <a:solidFill>
                <a:srgbClr val="a889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'⏱ Czasy odpowiedzi'!$B$41:$B$43</c:f>
              <c:strCache>
                <c:ptCount val="3"/>
                <c:pt idx="0">
                  <c:v>🔍 Wyszukiwanie</c:v>
                </c:pt>
                <c:pt idx="1">
                  <c:v>💬 Czat AI</c:v>
                </c:pt>
                <c:pt idx="2">
                  <c:v>📷 Rozpoznawanie zdjęć</c:v>
                </c:pt>
              </c:strCache>
            </c:strRef>
          </c:cat>
          <c:val>
            <c:numRef>
              <c:f>'⏱ Czasy odpowiedzi'!$C$41:$C$43</c:f>
              <c:numCache>
                <c:formatCode>General</c:formatCode>
                <c:ptCount val="3"/>
                <c:pt idx="0">
                  <c:v>16039</c:v>
                </c:pt>
                <c:pt idx="1">
                  <c:v>1569</c:v>
                </c:pt>
                <c:pt idx="2">
                  <c:v>3523</c:v>
                </c:pt>
              </c:numCache>
            </c:numRef>
          </c:val>
        </c:ser>
        <c:gapWidth val="150"/>
        <c:overlap val="0"/>
        <c:axId val="17633228"/>
        <c:axId val="87590510"/>
      </c:barChart>
      <c:catAx>
        <c:axId val="17633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Typ operacji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90510"/>
        <c:crosses val="autoZero"/>
        <c:auto val="1"/>
        <c:lblAlgn val="ctr"/>
        <c:lblOffset val="100"/>
        <c:noMultiLvlLbl val="0"/>
      </c:catAx>
      <c:valAx>
        <c:axId val="87590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Milisekundy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33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Podział tokenów: wejście vs wyjście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'💰 Tokeny &amp; Koszty'!C35</c:f>
              <c:strCache>
                <c:ptCount val="1"/>
                <c:pt idx="0">
                  <c:v>Tokeny</c:v>
                </c:pt>
              </c:strCache>
            </c:strRef>
          </c:tx>
          <c:spPr>
            <a:solidFill>
              <a:srgbClr val="c9a800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c9a8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0782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'💰 Tokeny &amp; Koszty'!$B$36:$B$37</c:f>
              <c:strCache>
                <c:ptCount val="2"/>
                <c:pt idx="0">
                  <c:v>Wejściowe</c:v>
                </c:pt>
                <c:pt idx="1">
                  <c:v>Wyjściowe</c:v>
                </c:pt>
              </c:strCache>
            </c:strRef>
          </c:cat>
          <c:val>
            <c:numRef>
              <c:f>'💰 Tokeny &amp; Koszty'!$C$36:$C$37</c:f>
              <c:numCache>
                <c:formatCode>General</c:formatCode>
                <c:ptCount val="2"/>
                <c:pt idx="0">
                  <c:v>135561</c:v>
                </c:pt>
                <c:pt idx="1">
                  <c:v>34070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Błędy wg typu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'⚠️ Błędy'!C31</c:f>
              <c:strCache>
                <c:ptCount val="1"/>
                <c:pt idx="0">
                  <c:v>Liczba</c:v>
                </c:pt>
              </c:strCache>
            </c:strRef>
          </c:tx>
          <c:spPr>
            <a:solidFill>
              <a:srgbClr val="e0504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'⚠️ Błędy'!$B$32:$B$33</c:f>
              <c:strCache>
                <c:ptCount val="2"/>
                <c:pt idx="0">
                  <c:v>Błąd sieci</c:v>
                </c:pt>
                <c:pt idx="1">
                  <c:v>Błąd parsowania JSON</c:v>
                </c:pt>
              </c:strCache>
            </c:strRef>
          </c:cat>
          <c:val>
            <c:numRef>
              <c:f>'⚠️ Błędy'!$C$32:$C$33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gapWidth val="150"/>
        <c:overlap val="0"/>
        <c:axId val="35649845"/>
        <c:axId val="38733325"/>
      </c:barChart>
      <c:catAx>
        <c:axId val="35649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33325"/>
        <c:crosses val="autoZero"/>
        <c:auto val="1"/>
        <c:lblAlgn val="ctr"/>
        <c:lblOffset val="100"/>
        <c:noMultiLvlLbl val="0"/>
      </c:catAx>
      <c:valAx>
        <c:axId val="38733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Liczba błędów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49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5</xdr:col>
      <xdr:colOff>856080</xdr:colOff>
      <xdr:row>56</xdr:row>
      <xdr:rowOff>100080</xdr:rowOff>
    </xdr:to>
    <xdr:graphicFrame>
      <xdr:nvGraphicFramePr>
        <xdr:cNvPr id="0" name="Chart 1"/>
        <xdr:cNvGraphicFramePr/>
      </xdr:nvGraphicFramePr>
      <xdr:xfrm>
        <a:off x="141120" y="65246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4</xdr:col>
      <xdr:colOff>966960</xdr:colOff>
      <xdr:row>42</xdr:row>
      <xdr:rowOff>128880</xdr:rowOff>
    </xdr:to>
    <xdr:graphicFrame>
      <xdr:nvGraphicFramePr>
        <xdr:cNvPr id="1" name="Chart 1"/>
        <xdr:cNvGraphicFramePr/>
      </xdr:nvGraphicFramePr>
      <xdr:xfrm>
        <a:off x="141120" y="38577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4</xdr:col>
      <xdr:colOff>2195280</xdr:colOff>
      <xdr:row>36</xdr:row>
      <xdr:rowOff>170640</xdr:rowOff>
    </xdr:to>
    <xdr:graphicFrame>
      <xdr:nvGraphicFramePr>
        <xdr:cNvPr id="2" name="Chart 1"/>
        <xdr:cNvGraphicFramePr/>
      </xdr:nvGraphicFramePr>
      <xdr:xfrm>
        <a:off x="141120" y="35719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00"/>
    <pageSetUpPr fitToPage="false"/>
  </sheetPr>
  <dimension ref="A1:J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9.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7.5" hidden="false" customHeight="true" outlineLevel="0" collapsed="false">
      <c r="A5" s="5"/>
      <c r="J5" s="5"/>
    </row>
    <row r="6" customFormat="false" ht="19.5" hidden="false" customHeight="true" outlineLevel="0" collapsed="false">
      <c r="A6" s="5"/>
      <c r="B6" s="3"/>
      <c r="C6" s="3"/>
      <c r="D6" s="6"/>
      <c r="E6" s="6"/>
      <c r="F6" s="7"/>
      <c r="G6" s="7"/>
      <c r="H6" s="8"/>
      <c r="I6" s="8"/>
      <c r="J6" s="5"/>
    </row>
    <row r="7" customFormat="false" ht="19.5" hidden="false" customHeight="true" outlineLevel="0" collapsed="false">
      <c r="A7" s="5"/>
      <c r="B7" s="9" t="s">
        <v>2</v>
      </c>
      <c r="C7" s="9"/>
      <c r="D7" s="9" t="s">
        <v>3</v>
      </c>
      <c r="E7" s="9"/>
      <c r="F7" s="9" t="s">
        <v>4</v>
      </c>
      <c r="G7" s="9"/>
      <c r="H7" s="9" t="s">
        <v>5</v>
      </c>
      <c r="I7" s="9"/>
      <c r="J7" s="5"/>
    </row>
    <row r="8" customFormat="false" ht="19.5" hidden="false" customHeight="true" outlineLevel="0" collapsed="false">
      <c r="A8" s="5"/>
      <c r="B8" s="10" t="n">
        <v>40</v>
      </c>
      <c r="C8" s="10"/>
      <c r="D8" s="10" t="s">
        <v>6</v>
      </c>
      <c r="E8" s="10"/>
      <c r="F8" s="10" t="s">
        <v>7</v>
      </c>
      <c r="G8" s="10"/>
      <c r="H8" s="10" t="s">
        <v>8</v>
      </c>
      <c r="I8" s="10"/>
      <c r="J8" s="5"/>
    </row>
    <row r="9" customFormat="false" ht="19.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5"/>
    </row>
    <row r="10" customFormat="false" ht="19.5" hidden="false" customHeight="true" outlineLevel="0" collapsed="false">
      <c r="A10" s="5"/>
      <c r="B10" s="11" t="s">
        <v>9</v>
      </c>
      <c r="C10" s="11"/>
      <c r="D10" s="11" t="s">
        <v>10</v>
      </c>
      <c r="E10" s="11"/>
      <c r="F10" s="11" t="s">
        <v>11</v>
      </c>
      <c r="G10" s="11"/>
      <c r="H10" s="11" t="s">
        <v>12</v>
      </c>
      <c r="I10" s="11"/>
      <c r="J10" s="5"/>
    </row>
    <row r="11" customFormat="false" ht="19.5" hidden="false" customHeight="true" outlineLevel="0" collapsed="false">
      <c r="A11" s="5"/>
      <c r="B11" s="12"/>
      <c r="C11" s="12"/>
      <c r="D11" s="12"/>
      <c r="E11" s="12"/>
      <c r="F11" s="12"/>
      <c r="G11" s="12"/>
      <c r="H11" s="12"/>
      <c r="I11" s="12"/>
      <c r="J11" s="5"/>
    </row>
    <row r="12" customFormat="false" ht="19.5" hidden="false" customHeight="true" outlineLevel="0" collapsed="false">
      <c r="A12" s="5"/>
      <c r="J12" s="5"/>
    </row>
    <row r="13" customFormat="false" ht="19.5" hidden="false" customHeight="true" outlineLevel="0" collapsed="false">
      <c r="A13" s="5"/>
      <c r="B13" s="13"/>
      <c r="C13" s="13"/>
      <c r="D13" s="14"/>
      <c r="E13" s="14"/>
      <c r="F13" s="14"/>
      <c r="G13" s="14"/>
      <c r="H13" s="3"/>
      <c r="I13" s="3"/>
      <c r="J13" s="5"/>
    </row>
    <row r="14" customFormat="false" ht="19.5" hidden="false" customHeight="true" outlineLevel="0" collapsed="false">
      <c r="A14" s="5"/>
      <c r="B14" s="9" t="s">
        <v>13</v>
      </c>
      <c r="C14" s="9"/>
      <c r="D14" s="9" t="s">
        <v>14</v>
      </c>
      <c r="E14" s="9"/>
      <c r="F14" s="9" t="s">
        <v>15</v>
      </c>
      <c r="G14" s="9"/>
      <c r="H14" s="9" t="s">
        <v>16</v>
      </c>
      <c r="I14" s="9"/>
      <c r="J14" s="5"/>
    </row>
    <row r="15" customFormat="false" ht="19.5" hidden="false" customHeight="true" outlineLevel="0" collapsed="false">
      <c r="A15" s="5"/>
      <c r="B15" s="10" t="n">
        <v>3</v>
      </c>
      <c r="C15" s="10"/>
      <c r="D15" s="10" t="s">
        <v>17</v>
      </c>
      <c r="E15" s="10"/>
      <c r="F15" s="10" t="s">
        <v>18</v>
      </c>
      <c r="G15" s="10"/>
      <c r="H15" s="10" t="n">
        <v>115</v>
      </c>
      <c r="I15" s="10"/>
      <c r="J15" s="5"/>
    </row>
    <row r="16" customFormat="false" ht="19.5" hidden="false" customHeight="true" outlineLevel="0" collapsed="false">
      <c r="A16" s="5"/>
      <c r="B16" s="10"/>
      <c r="C16" s="10"/>
      <c r="D16" s="10"/>
      <c r="E16" s="10"/>
      <c r="F16" s="10"/>
      <c r="G16" s="10"/>
      <c r="H16" s="10"/>
      <c r="I16" s="10"/>
      <c r="J16" s="5"/>
    </row>
    <row r="17" customFormat="false" ht="19.5" hidden="false" customHeight="true" outlineLevel="0" collapsed="false">
      <c r="A17" s="5"/>
      <c r="B17" s="11" t="s">
        <v>19</v>
      </c>
      <c r="C17" s="11"/>
      <c r="D17" s="11" t="s">
        <v>20</v>
      </c>
      <c r="E17" s="11"/>
      <c r="F17" s="11" t="s">
        <v>21</v>
      </c>
      <c r="G17" s="11"/>
      <c r="H17" s="11" t="s">
        <v>22</v>
      </c>
      <c r="I17" s="11"/>
      <c r="J17" s="5"/>
    </row>
    <row r="18" customFormat="false" ht="19.5" hidden="false" customHeight="true" outlineLevel="0" collapsed="false">
      <c r="A18" s="5"/>
      <c r="B18" s="12"/>
      <c r="C18" s="12"/>
      <c r="D18" s="12"/>
      <c r="E18" s="12"/>
      <c r="F18" s="12"/>
      <c r="G18" s="12"/>
      <c r="H18" s="12"/>
      <c r="I18" s="12"/>
      <c r="J18" s="5"/>
    </row>
    <row r="19" customFormat="false" ht="19.5" hidden="false" customHeight="true" outlineLevel="0" collapsed="false">
      <c r="A19" s="5"/>
      <c r="J19" s="5"/>
    </row>
    <row r="20" customFormat="false" ht="19.5" hidden="false" customHeight="true" outlineLevel="0" collapsed="false">
      <c r="A20" s="5"/>
      <c r="J20" s="5"/>
    </row>
    <row r="21" customFormat="false" ht="9.75" hidden="false" customHeight="true" outlineLevel="0" collapsed="false">
      <c r="A21" s="5"/>
      <c r="J21" s="5"/>
    </row>
    <row r="22" customFormat="false" ht="19.5" hidden="false" customHeight="true" outlineLevel="0" collapsed="false">
      <c r="A22" s="5"/>
      <c r="B22" s="15" t="s">
        <v>23</v>
      </c>
      <c r="C22" s="15"/>
      <c r="D22" s="15"/>
      <c r="E22" s="15"/>
      <c r="F22" s="15"/>
      <c r="G22" s="15"/>
      <c r="H22" s="15"/>
      <c r="I22" s="15"/>
      <c r="J22" s="5"/>
    </row>
    <row r="23" customFormat="false" ht="19.5" hidden="false" customHeight="true" outlineLevel="0" collapsed="false">
      <c r="A23" s="16"/>
      <c r="B23" s="17" t="s">
        <v>24</v>
      </c>
      <c r="C23" s="17" t="s">
        <v>25</v>
      </c>
      <c r="D23" s="17" t="s">
        <v>26</v>
      </c>
      <c r="E23" s="17" t="s">
        <v>27</v>
      </c>
      <c r="F23" s="16"/>
      <c r="G23" s="16"/>
      <c r="H23" s="16"/>
      <c r="I23" s="16"/>
      <c r="J23" s="5"/>
    </row>
    <row r="24" customFormat="false" ht="19.5" hidden="false" customHeight="true" outlineLevel="0" collapsed="false">
      <c r="A24" s="5"/>
      <c r="B24" s="18" t="s">
        <v>28</v>
      </c>
      <c r="C24" s="19" t="n">
        <v>37</v>
      </c>
      <c r="D24" s="20" t="n">
        <f aca="false">C24/(C24+C25)</f>
        <v>0.506849315068493</v>
      </c>
      <c r="E24" s="21" t="s">
        <v>29</v>
      </c>
      <c r="F24" s="5"/>
      <c r="G24" s="5"/>
      <c r="H24" s="5"/>
      <c r="I24" s="5"/>
      <c r="J24" s="5"/>
    </row>
    <row r="25" customFormat="false" ht="19.5" hidden="false" customHeight="true" outlineLevel="0" collapsed="false">
      <c r="A25" s="5"/>
      <c r="B25" s="18" t="s">
        <v>30</v>
      </c>
      <c r="C25" s="19" t="n">
        <v>36</v>
      </c>
      <c r="D25" s="20" t="n">
        <f aca="false">C25/(C24+C25)</f>
        <v>0.493150684931507</v>
      </c>
      <c r="E25" s="22" t="s">
        <v>31</v>
      </c>
      <c r="F25" s="5"/>
      <c r="G25" s="5"/>
      <c r="H25" s="5"/>
      <c r="I25" s="5"/>
      <c r="J25" s="5"/>
    </row>
    <row r="26" customFormat="false" ht="19.5" hidden="false" customHeight="true" outlineLevel="0" collapsed="false">
      <c r="A26" s="5"/>
      <c r="B26" s="23" t="s">
        <v>32</v>
      </c>
      <c r="C26" s="24" t="n">
        <f aca="false">C24+C25</f>
        <v>73</v>
      </c>
      <c r="D26" s="25" t="n">
        <f aca="false">C24/(C24+C25)</f>
        <v>0.506849315068493</v>
      </c>
      <c r="F26" s="5"/>
      <c r="G26" s="5"/>
      <c r="H26" s="5"/>
      <c r="I26" s="5"/>
      <c r="J26" s="5"/>
    </row>
    <row r="27" customFormat="false" ht="19.5" hidden="false" customHeight="true" outlineLevel="0" collapsed="false">
      <c r="A27" s="5"/>
      <c r="J27" s="5"/>
    </row>
    <row r="28" customFormat="false" ht="19.5" hidden="false" customHeight="true" outlineLevel="0" collapsed="false">
      <c r="A28" s="5"/>
      <c r="J28" s="5"/>
    </row>
    <row r="29" customFormat="false" ht="19.5" hidden="false" customHeight="true" outlineLevel="0" collapsed="false">
      <c r="A29" s="5"/>
      <c r="J29" s="5"/>
    </row>
    <row r="30" customFormat="false" ht="19.5" hidden="false" customHeight="true" outlineLevel="0" collapsed="false">
      <c r="A30" s="5"/>
      <c r="J30" s="5"/>
    </row>
    <row r="31" customFormat="false" ht="19.5" hidden="false" customHeight="true" outlineLevel="0" collapsed="false">
      <c r="A31" s="5"/>
      <c r="J31" s="5"/>
    </row>
    <row r="32" customFormat="false" ht="19.5" hidden="false" customHeight="true" outlineLevel="0" collapsed="false">
      <c r="A32" s="5"/>
      <c r="J32" s="5"/>
    </row>
    <row r="33" customFormat="false" ht="19.5" hidden="false" customHeight="true" outlineLevel="0" collapsed="false">
      <c r="A33" s="5"/>
      <c r="J33" s="5"/>
    </row>
    <row r="34" customFormat="false" ht="19.5" hidden="false" customHeight="true" outlineLevel="0" collapsed="false">
      <c r="A34" s="5"/>
      <c r="J34" s="5"/>
    </row>
    <row r="35" customFormat="false" ht="19.5" hidden="false" customHeight="true" outlineLevel="0" collapsed="false">
      <c r="A35" s="5"/>
      <c r="J35" s="5"/>
    </row>
    <row r="36" customFormat="false" ht="19.5" hidden="false" customHeight="true" outlineLevel="0" collapsed="false">
      <c r="A36" s="5"/>
      <c r="J36" s="5"/>
    </row>
    <row r="37" customFormat="false" ht="19.5" hidden="false" customHeight="true" outlineLevel="0" collapsed="false">
      <c r="A37" s="5"/>
      <c r="J37" s="5"/>
    </row>
    <row r="38" customFormat="false" ht="19.5" hidden="false" customHeight="true" outlineLevel="0" collapsed="false">
      <c r="A38" s="5"/>
      <c r="J38" s="5"/>
    </row>
    <row r="39" customFormat="false" ht="19.5" hidden="false" customHeight="true" outlineLevel="0" collapsed="false">
      <c r="A39" s="5"/>
      <c r="J39" s="5"/>
    </row>
    <row r="40" customFormat="false" ht="19.5" hidden="false" customHeight="true" outlineLevel="0" collapsed="false">
      <c r="A40" s="5"/>
      <c r="J40" s="5"/>
    </row>
    <row r="41" customFormat="false" ht="19.5" hidden="false" customHeight="true" outlineLevel="0" collapsed="false">
      <c r="A41" s="5"/>
      <c r="J41" s="5"/>
    </row>
    <row r="42" customFormat="false" ht="19.5" hidden="false" customHeight="true" outlineLevel="0" collapsed="false">
      <c r="A42" s="5"/>
      <c r="J42" s="5"/>
    </row>
    <row r="43" customFormat="false" ht="19.5" hidden="false" customHeight="true" outlineLevel="0" collapsed="false">
      <c r="A43" s="5"/>
      <c r="J43" s="5"/>
    </row>
    <row r="44" customFormat="false" ht="19.5" hidden="false" customHeight="true" outlineLevel="0" collapsed="false">
      <c r="A44" s="5"/>
      <c r="J44" s="5"/>
    </row>
    <row r="45" customFormat="false" ht="19.5" hidden="false" customHeight="true" outlineLevel="0" collapsed="false">
      <c r="A45" s="5"/>
      <c r="J45" s="5"/>
    </row>
    <row r="46" customFormat="false" ht="19.5" hidden="false" customHeight="true" outlineLevel="0" collapsed="false">
      <c r="A46" s="5"/>
      <c r="J46" s="5"/>
    </row>
    <row r="47" customFormat="false" ht="19.5" hidden="false" customHeight="true" outlineLevel="0" collapsed="false">
      <c r="A47" s="5"/>
      <c r="J47" s="5"/>
    </row>
    <row r="48" customFormat="false" ht="19.5" hidden="false" customHeight="true" outlineLevel="0" collapsed="false">
      <c r="A48" s="5"/>
      <c r="J48" s="5"/>
    </row>
    <row r="49" customFormat="false" ht="19.5" hidden="false" customHeight="true" outlineLevel="0" collapsed="false">
      <c r="A49" s="5"/>
      <c r="J49" s="5"/>
    </row>
    <row r="50" customFormat="false" ht="19.5" hidden="false" customHeight="true" outlineLevel="0" collapsed="false">
      <c r="A50" s="5"/>
      <c r="J50" s="5"/>
    </row>
    <row r="51" customFormat="false" ht="19.5" hidden="false" customHeight="true" outlineLevel="0" collapsed="false">
      <c r="A51" s="5"/>
      <c r="J51" s="5"/>
    </row>
    <row r="52" customFormat="false" ht="19.5" hidden="false" customHeight="true" outlineLevel="0" collapsed="false">
      <c r="A52" s="5"/>
      <c r="J52" s="5"/>
    </row>
    <row r="53" customFormat="false" ht="19.5" hidden="false" customHeight="true" outlineLevel="0" collapsed="false">
      <c r="A53" s="5"/>
      <c r="J53" s="5"/>
    </row>
    <row r="54" customFormat="false" ht="19.5" hidden="false" customHeight="true" outlineLevel="0" collapsed="false">
      <c r="A54" s="5"/>
      <c r="J54" s="5"/>
    </row>
    <row r="55" customFormat="false" ht="19.5" hidden="false" customHeight="true" outlineLevel="0" collapsed="false">
      <c r="A55" s="5"/>
      <c r="J55" s="5"/>
    </row>
    <row r="56" customFormat="false" ht="19.5" hidden="false" customHeight="true" outlineLevel="0" collapsed="false">
      <c r="A56" s="5"/>
      <c r="J56" s="5"/>
    </row>
    <row r="57" customFormat="false" ht="19.5" hidden="false" customHeight="true" outlineLevel="0" collapsed="false">
      <c r="A57" s="5"/>
      <c r="J57" s="5"/>
    </row>
    <row r="58" customFormat="false" ht="19.5" hidden="false" customHeight="true" outlineLevel="0" collapsed="false">
      <c r="A58" s="5"/>
      <c r="J58" s="5"/>
    </row>
    <row r="59" customFormat="false" ht="19.5" hidden="false" customHeight="true" outlineLevel="0" collapsed="false">
      <c r="A59" s="5"/>
      <c r="J59" s="5"/>
    </row>
    <row r="60" customFormat="false" ht="15" hidden="false" customHeight="false" outlineLevel="0" collapsed="false">
      <c r="A60" s="5"/>
      <c r="J60" s="5"/>
    </row>
    <row r="61" customFormat="false" ht="15" hidden="false" customHeight="false" outlineLevel="0" collapsed="false">
      <c r="A61" s="5"/>
      <c r="J61" s="5"/>
    </row>
    <row r="62" customFormat="false" ht="15" hidden="false" customHeight="false" outlineLevel="0" collapsed="false">
      <c r="A62" s="5"/>
      <c r="J62" s="5"/>
    </row>
    <row r="63" customFormat="false" ht="15" hidden="false" customHeight="false" outlineLevel="0" collapsed="false">
      <c r="A63" s="5"/>
      <c r="J63" s="5"/>
    </row>
    <row r="64" customFormat="false" ht="15" hidden="false" customHeight="false" outlineLevel="0" collapsed="false">
      <c r="A64" s="5"/>
      <c r="J64" s="5"/>
    </row>
    <row r="65" customFormat="false" ht="15" hidden="false" customHeight="false" outlineLevel="0" collapsed="false">
      <c r="A65" s="5"/>
      <c r="J65" s="5"/>
    </row>
    <row r="66" customFormat="false" ht="15" hidden="false" customHeight="false" outlineLevel="0" collapsed="false">
      <c r="A66" s="5"/>
      <c r="J66" s="5"/>
    </row>
    <row r="67" customFormat="false" ht="15" hidden="false" customHeight="false" outlineLevel="0" collapsed="false">
      <c r="A67" s="5"/>
      <c r="J67" s="5"/>
    </row>
    <row r="68" customFormat="false" ht="15" hidden="false" customHeight="false" outlineLevel="0" collapsed="false">
      <c r="A68" s="5"/>
      <c r="J68" s="5"/>
    </row>
    <row r="69" customFormat="false" ht="15" hidden="false" customHeight="false" outlineLevel="0" collapsed="false">
      <c r="A69" s="5"/>
      <c r="J69" s="5"/>
    </row>
    <row r="70" customFormat="false" ht="15" hidden="false" customHeight="false" outlineLevel="0" collapsed="false">
      <c r="A70" s="5"/>
      <c r="J70" s="5"/>
    </row>
    <row r="71" customFormat="false" ht="15" hidden="false" customHeight="false" outlineLevel="0" collapsed="false">
      <c r="A71" s="5"/>
      <c r="J71" s="5"/>
    </row>
    <row r="72" customFormat="false" ht="15" hidden="false" customHeight="false" outlineLevel="0" collapsed="false">
      <c r="A72" s="5"/>
      <c r="J72" s="5"/>
    </row>
    <row r="73" customFormat="false" ht="15" hidden="false" customHeight="false" outlineLevel="0" collapsed="false">
      <c r="A73" s="5"/>
      <c r="J73" s="5"/>
    </row>
    <row r="74" customFormat="false" ht="15" hidden="false" customHeight="false" outlineLevel="0" collapsed="false">
      <c r="A74" s="5"/>
      <c r="J74" s="5"/>
    </row>
    <row r="75" customFormat="false" ht="15" hidden="false" customHeight="false" outlineLevel="0" collapsed="false">
      <c r="A75" s="5"/>
      <c r="J75" s="5"/>
    </row>
    <row r="76" customFormat="false" ht="15" hidden="false" customHeight="false" outlineLevel="0" collapsed="false">
      <c r="A76" s="5"/>
      <c r="J76" s="5"/>
    </row>
    <row r="77" customFormat="false" ht="15" hidden="false" customHeight="false" outlineLevel="0" collapsed="false">
      <c r="A77" s="5"/>
      <c r="J77" s="5"/>
    </row>
    <row r="78" customFormat="false" ht="15" hidden="false" customHeight="false" outlineLevel="0" collapsed="false">
      <c r="A78" s="5"/>
      <c r="J78" s="5"/>
    </row>
    <row r="79" customFormat="false" ht="15" hidden="false" customHeight="false" outlineLevel="0" collapsed="false">
      <c r="A79" s="5"/>
      <c r="J79" s="5"/>
    </row>
    <row r="80" customFormat="false" ht="15" hidden="false" customHeight="false" outlineLevel="0" collapsed="false">
      <c r="A80" s="5"/>
      <c r="J80" s="5"/>
    </row>
    <row r="81" customFormat="false" ht="15" hidden="false" customHeight="false" outlineLevel="0" collapsed="false">
      <c r="A81" s="5"/>
      <c r="J81" s="5"/>
    </row>
    <row r="82" customFormat="false" ht="15" hidden="false" customHeight="false" outlineLevel="0" collapsed="false">
      <c r="A82" s="5"/>
      <c r="J82" s="5"/>
    </row>
    <row r="83" customFormat="false" ht="15" hidden="false" customHeight="false" outlineLevel="0" collapsed="false">
      <c r="A83" s="5"/>
      <c r="J83" s="5"/>
    </row>
    <row r="84" customFormat="false" ht="15" hidden="false" customHeight="false" outlineLevel="0" collapsed="false">
      <c r="A84" s="5"/>
      <c r="J84" s="5"/>
    </row>
    <row r="85" customFormat="false" ht="15" hidden="false" customHeight="false" outlineLevel="0" collapsed="false">
      <c r="A85" s="5"/>
      <c r="J85" s="5"/>
    </row>
    <row r="86" customFormat="false" ht="15" hidden="false" customHeight="false" outlineLevel="0" collapsed="false">
      <c r="A86" s="5"/>
      <c r="J86" s="5"/>
    </row>
    <row r="87" customFormat="false" ht="15" hidden="false" customHeight="false" outlineLevel="0" collapsed="false">
      <c r="A87" s="5"/>
      <c r="J87" s="5"/>
    </row>
    <row r="88" customFormat="false" ht="15" hidden="false" customHeight="false" outlineLevel="0" collapsed="false">
      <c r="A88" s="5"/>
      <c r="J88" s="5"/>
    </row>
    <row r="89" customFormat="false" ht="15" hidden="false" customHeight="false" outlineLevel="0" collapsed="false">
      <c r="A89" s="5"/>
      <c r="J89" s="5"/>
    </row>
    <row r="90" customFormat="false" ht="15" hidden="false" customHeight="false" outlineLevel="0" collapsed="false">
      <c r="A90" s="5"/>
      <c r="J90" s="5"/>
    </row>
    <row r="91" customFormat="false" ht="15" hidden="false" customHeight="false" outlineLevel="0" collapsed="false">
      <c r="A91" s="5"/>
      <c r="J91" s="5"/>
    </row>
    <row r="92" customFormat="false" ht="15" hidden="false" customHeight="false" outlineLevel="0" collapsed="false">
      <c r="A92" s="5"/>
      <c r="J92" s="5"/>
    </row>
    <row r="93" customFormat="false" ht="15" hidden="false" customHeight="false" outlineLevel="0" collapsed="false">
      <c r="A93" s="5"/>
      <c r="J93" s="5"/>
    </row>
    <row r="94" customFormat="false" ht="15" hidden="false" customHeight="false" outlineLevel="0" collapsed="false">
      <c r="A94" s="5"/>
      <c r="J94" s="5"/>
    </row>
    <row r="95" customFormat="false" ht="15" hidden="false" customHeight="false" outlineLevel="0" collapsed="false">
      <c r="A95" s="5"/>
      <c r="J95" s="5"/>
    </row>
    <row r="96" customFormat="false" ht="15" hidden="false" customHeight="false" outlineLevel="0" collapsed="false">
      <c r="A96" s="5"/>
      <c r="J96" s="5"/>
    </row>
    <row r="97" customFormat="false" ht="15" hidden="false" customHeight="false" outlineLevel="0" collapsed="false">
      <c r="A97" s="5"/>
      <c r="J97" s="5"/>
    </row>
    <row r="98" customFormat="false" ht="15" hidden="false" customHeight="false" outlineLevel="0" collapsed="false">
      <c r="A98" s="5"/>
      <c r="J98" s="5"/>
    </row>
    <row r="99" customFormat="false" ht="15" hidden="false" customHeight="false" outlineLevel="0" collapsed="false">
      <c r="A99" s="5"/>
      <c r="J99" s="5"/>
    </row>
  </sheetData>
  <mergeCells count="37">
    <mergeCell ref="A1:J1"/>
    <mergeCell ref="A2:J2"/>
    <mergeCell ref="A3:J3"/>
    <mergeCell ref="A4:J4"/>
    <mergeCell ref="B6:C6"/>
    <mergeCell ref="D6:E6"/>
    <mergeCell ref="F6:G6"/>
    <mergeCell ref="H6:I6"/>
    <mergeCell ref="B7:C7"/>
    <mergeCell ref="D7:E7"/>
    <mergeCell ref="F7:G7"/>
    <mergeCell ref="H7:I7"/>
    <mergeCell ref="B8:C9"/>
    <mergeCell ref="D8:E9"/>
    <mergeCell ref="F8:G9"/>
    <mergeCell ref="H8:I9"/>
    <mergeCell ref="B10:C10"/>
    <mergeCell ref="D10:E10"/>
    <mergeCell ref="F10:G10"/>
    <mergeCell ref="H10:I10"/>
    <mergeCell ref="B13:C13"/>
    <mergeCell ref="D13:E13"/>
    <mergeCell ref="F13:G13"/>
    <mergeCell ref="H13:I13"/>
    <mergeCell ref="B14:C14"/>
    <mergeCell ref="D14:E14"/>
    <mergeCell ref="F14:G14"/>
    <mergeCell ref="H14:I14"/>
    <mergeCell ref="B15:C16"/>
    <mergeCell ref="D15:E16"/>
    <mergeCell ref="F15:G16"/>
    <mergeCell ref="H15:I16"/>
    <mergeCell ref="B17:C17"/>
    <mergeCell ref="D17:E17"/>
    <mergeCell ref="F17:G17"/>
    <mergeCell ref="H17:I17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20"/>
    <col collapsed="false" customWidth="true" hidden="false" outlineLevel="0" max="8" min="8" style="0" width="2"/>
  </cols>
  <sheetData>
    <row r="1" customFormat="false" ht="7.5" hidden="false" customHeight="true" outlineLevel="0" collapsed="false">
      <c r="A1" s="5"/>
      <c r="H1" s="5"/>
    </row>
    <row r="2" customFormat="false" ht="37.5" hidden="false" customHeight="true" outlineLevel="0" collapsed="false">
      <c r="A2" s="26" t="s">
        <v>33</v>
      </c>
      <c r="B2" s="26"/>
      <c r="C2" s="26"/>
      <c r="D2" s="26"/>
      <c r="E2" s="26"/>
      <c r="F2" s="26"/>
      <c r="G2" s="26"/>
      <c r="H2" s="26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5"/>
      <c r="H4" s="5"/>
    </row>
    <row r="5" customFormat="false" ht="15" hidden="false" customHeight="false" outlineLevel="0" collapsed="false">
      <c r="A5" s="5"/>
      <c r="B5" s="15" t="s">
        <v>34</v>
      </c>
      <c r="C5" s="15"/>
      <c r="D5" s="15"/>
      <c r="E5" s="15"/>
      <c r="F5" s="15"/>
      <c r="G5" s="15"/>
      <c r="H5" s="5"/>
    </row>
    <row r="6" customFormat="false" ht="15" hidden="false" customHeight="false" outlineLevel="0" collapsed="false">
      <c r="A6" s="5"/>
      <c r="B6" s="27" t="s">
        <v>35</v>
      </c>
      <c r="C6" s="27" t="s">
        <v>36</v>
      </c>
      <c r="D6" s="27" t="s">
        <v>37</v>
      </c>
      <c r="E6" s="27" t="s">
        <v>38</v>
      </c>
      <c r="F6" s="27" t="s">
        <v>39</v>
      </c>
      <c r="G6" s="27" t="s">
        <v>40</v>
      </c>
      <c r="H6" s="5"/>
    </row>
    <row r="7" customFormat="false" ht="15" hidden="false" customHeight="false" outlineLevel="0" collapsed="false">
      <c r="A7" s="5"/>
      <c r="B7" s="28" t="s">
        <v>41</v>
      </c>
      <c r="C7" s="29" t="n">
        <v>23</v>
      </c>
      <c r="D7" s="29" t="n">
        <v>16039</v>
      </c>
      <c r="E7" s="29" t="n">
        <v>8180</v>
      </c>
      <c r="F7" s="29" t="n">
        <v>27769</v>
      </c>
      <c r="G7" s="30" t="n">
        <v>16.04</v>
      </c>
      <c r="H7" s="5"/>
    </row>
    <row r="8" customFormat="false" ht="15" hidden="false" customHeight="false" outlineLevel="0" collapsed="false">
      <c r="A8" s="5"/>
      <c r="B8" s="28" t="s">
        <v>42</v>
      </c>
      <c r="C8" s="29" t="n">
        <v>9</v>
      </c>
      <c r="D8" s="29" t="n">
        <v>1569</v>
      </c>
      <c r="E8" s="29" t="n">
        <v>1066</v>
      </c>
      <c r="F8" s="29" t="n">
        <v>2193</v>
      </c>
      <c r="G8" s="30" t="n">
        <v>1.57</v>
      </c>
      <c r="H8" s="5"/>
    </row>
    <row r="9" customFormat="false" ht="15" hidden="false" customHeight="false" outlineLevel="0" collapsed="false">
      <c r="A9" s="5"/>
      <c r="B9" s="28" t="s">
        <v>43</v>
      </c>
      <c r="C9" s="29" t="n">
        <v>5</v>
      </c>
      <c r="D9" s="29" t="n">
        <v>3523</v>
      </c>
      <c r="E9" s="29" t="n">
        <v>2213</v>
      </c>
      <c r="F9" s="29" t="n">
        <v>4989</v>
      </c>
      <c r="G9" s="30" t="n">
        <v>3.52</v>
      </c>
      <c r="H9" s="5"/>
    </row>
    <row r="10" customFormat="false" ht="15" hidden="false" customHeight="false" outlineLevel="0" collapsed="false">
      <c r="A10" s="5"/>
      <c r="B10" s="31" t="s">
        <v>44</v>
      </c>
      <c r="C10" s="32" t="n">
        <v>37</v>
      </c>
      <c r="D10" s="32" t="n">
        <v>10828</v>
      </c>
      <c r="E10" s="32" t="n">
        <v>1066</v>
      </c>
      <c r="F10" s="32" t="n">
        <v>27769</v>
      </c>
      <c r="G10" s="33" t="n">
        <v>10.83</v>
      </c>
      <c r="H10" s="5"/>
    </row>
    <row r="11" customFormat="false" ht="15" hidden="false" customHeight="false" outlineLevel="0" collapsed="false">
      <c r="A11" s="5"/>
      <c r="H11" s="5"/>
    </row>
    <row r="12" customFormat="false" ht="15" hidden="false" customHeight="false" outlineLevel="0" collapsed="false">
      <c r="A12" s="5"/>
      <c r="B12" s="15" t="s">
        <v>45</v>
      </c>
      <c r="C12" s="15"/>
      <c r="D12" s="15"/>
      <c r="E12" s="15"/>
      <c r="F12" s="15"/>
      <c r="G12" s="15"/>
      <c r="H12" s="5"/>
    </row>
    <row r="13" customFormat="false" ht="15" hidden="false" customHeight="false" outlineLevel="0" collapsed="false">
      <c r="A13" s="5"/>
      <c r="B13" s="27" t="s">
        <v>46</v>
      </c>
      <c r="C13" s="27" t="s">
        <v>47</v>
      </c>
      <c r="D13" s="27" t="s">
        <v>48</v>
      </c>
      <c r="E13" s="27" t="s">
        <v>49</v>
      </c>
      <c r="F13" s="27" t="s">
        <v>27</v>
      </c>
      <c r="G13" s="27" t="s">
        <v>50</v>
      </c>
      <c r="H13" s="5"/>
    </row>
    <row r="14" customFormat="false" ht="15" hidden="false" customHeight="false" outlineLevel="0" collapsed="false">
      <c r="A14" s="5"/>
      <c r="B14" s="34" t="s">
        <v>51</v>
      </c>
      <c r="C14" s="35" t="s">
        <v>52</v>
      </c>
      <c r="D14" s="34" t="s">
        <v>53</v>
      </c>
      <c r="E14" s="36" t="n">
        <v>17767</v>
      </c>
      <c r="F14" s="37" t="s">
        <v>54</v>
      </c>
      <c r="G14" s="35" t="n">
        <v>3</v>
      </c>
      <c r="H14" s="5"/>
    </row>
    <row r="15" customFormat="false" ht="15" hidden="false" customHeight="false" outlineLevel="0" collapsed="false">
      <c r="A15" s="5"/>
      <c r="B15" s="38" t="s">
        <v>55</v>
      </c>
      <c r="C15" s="39" t="s">
        <v>52</v>
      </c>
      <c r="D15" s="38" t="s">
        <v>56</v>
      </c>
      <c r="E15" s="40" t="n">
        <v>17215</v>
      </c>
      <c r="F15" s="41" t="s">
        <v>54</v>
      </c>
      <c r="G15" s="39" t="n">
        <v>5</v>
      </c>
      <c r="H15" s="5"/>
    </row>
    <row r="16" customFormat="false" ht="15" hidden="false" customHeight="false" outlineLevel="0" collapsed="false">
      <c r="A16" s="5"/>
      <c r="B16" s="34" t="s">
        <v>57</v>
      </c>
      <c r="C16" s="35" t="s">
        <v>52</v>
      </c>
      <c r="D16" s="34" t="s">
        <v>58</v>
      </c>
      <c r="E16" s="36" t="n">
        <v>13779</v>
      </c>
      <c r="F16" s="37" t="s">
        <v>54</v>
      </c>
      <c r="G16" s="35" t="n">
        <v>4</v>
      </c>
      <c r="H16" s="5"/>
    </row>
    <row r="17" customFormat="false" ht="15" hidden="false" customHeight="false" outlineLevel="0" collapsed="false">
      <c r="A17" s="5"/>
      <c r="B17" s="38" t="s">
        <v>59</v>
      </c>
      <c r="C17" s="39" t="s">
        <v>60</v>
      </c>
      <c r="D17" s="38" t="s">
        <v>61</v>
      </c>
      <c r="E17" s="40" t="n">
        <v>2174</v>
      </c>
      <c r="F17" s="41" t="s">
        <v>54</v>
      </c>
      <c r="G17" s="39" t="n">
        <v>0</v>
      </c>
      <c r="H17" s="5"/>
    </row>
    <row r="18" customFormat="false" ht="15" hidden="false" customHeight="false" outlineLevel="0" collapsed="false">
      <c r="A18" s="5"/>
      <c r="B18" s="34" t="s">
        <v>62</v>
      </c>
      <c r="C18" s="35" t="s">
        <v>63</v>
      </c>
      <c r="D18" s="34" t="s">
        <v>64</v>
      </c>
      <c r="E18" s="36" t="n">
        <v>3858</v>
      </c>
      <c r="F18" s="37" t="s">
        <v>54</v>
      </c>
      <c r="G18" s="35" t="n">
        <v>0</v>
      </c>
      <c r="H18" s="5"/>
    </row>
    <row r="19" customFormat="false" ht="15" hidden="false" customHeight="false" outlineLevel="0" collapsed="false">
      <c r="A19" s="5"/>
      <c r="B19" s="38" t="s">
        <v>65</v>
      </c>
      <c r="C19" s="39" t="s">
        <v>52</v>
      </c>
      <c r="D19" s="38" t="s">
        <v>66</v>
      </c>
      <c r="E19" s="40" t="n">
        <v>14694</v>
      </c>
      <c r="F19" s="41" t="s">
        <v>54</v>
      </c>
      <c r="G19" s="39" t="n">
        <v>3</v>
      </c>
      <c r="H19" s="5"/>
    </row>
    <row r="20" customFormat="false" ht="15" hidden="false" customHeight="false" outlineLevel="0" collapsed="false">
      <c r="A20" s="5"/>
      <c r="B20" s="34" t="s">
        <v>67</v>
      </c>
      <c r="C20" s="35" t="s">
        <v>60</v>
      </c>
      <c r="D20" s="34" t="s">
        <v>68</v>
      </c>
      <c r="E20" s="36" t="n">
        <v>1159</v>
      </c>
      <c r="F20" s="37" t="s">
        <v>54</v>
      </c>
      <c r="G20" s="35" t="n">
        <v>0</v>
      </c>
      <c r="H20" s="5"/>
    </row>
    <row r="21" customFormat="false" ht="15" hidden="false" customHeight="false" outlineLevel="0" collapsed="false">
      <c r="A21" s="5"/>
      <c r="B21" s="38" t="s">
        <v>69</v>
      </c>
      <c r="C21" s="39" t="s">
        <v>52</v>
      </c>
      <c r="D21" s="38" t="s">
        <v>70</v>
      </c>
      <c r="E21" s="40" t="n">
        <v>20224</v>
      </c>
      <c r="F21" s="41" t="s">
        <v>54</v>
      </c>
      <c r="G21" s="39" t="n">
        <v>6</v>
      </c>
      <c r="H21" s="5"/>
    </row>
    <row r="22" customFormat="false" ht="15" hidden="false" customHeight="false" outlineLevel="0" collapsed="false">
      <c r="A22" s="5"/>
      <c r="B22" s="34" t="s">
        <v>71</v>
      </c>
      <c r="C22" s="35" t="s">
        <v>52</v>
      </c>
      <c r="D22" s="34" t="s">
        <v>53</v>
      </c>
      <c r="E22" s="36" t="n">
        <v>9246</v>
      </c>
      <c r="F22" s="37" t="s">
        <v>54</v>
      </c>
      <c r="G22" s="35" t="n">
        <v>4</v>
      </c>
      <c r="H22" s="5"/>
    </row>
    <row r="23" customFormat="false" ht="15" hidden="false" customHeight="false" outlineLevel="0" collapsed="false">
      <c r="A23" s="5"/>
      <c r="B23" s="38" t="s">
        <v>72</v>
      </c>
      <c r="C23" s="39" t="s">
        <v>52</v>
      </c>
      <c r="D23" s="38" t="s">
        <v>56</v>
      </c>
      <c r="E23" s="40" t="n">
        <v>8669</v>
      </c>
      <c r="F23" s="41" t="s">
        <v>54</v>
      </c>
      <c r="G23" s="39" t="n">
        <v>3</v>
      </c>
      <c r="H23" s="5"/>
    </row>
    <row r="24" customFormat="false" ht="15" hidden="false" customHeight="false" outlineLevel="0" collapsed="false">
      <c r="A24" s="5"/>
      <c r="B24" s="34" t="s">
        <v>73</v>
      </c>
      <c r="C24" s="35" t="s">
        <v>52</v>
      </c>
      <c r="D24" s="34" t="s">
        <v>58</v>
      </c>
      <c r="E24" s="36" t="n">
        <v>17608</v>
      </c>
      <c r="F24" s="37" t="s">
        <v>54</v>
      </c>
      <c r="G24" s="35" t="n">
        <v>4</v>
      </c>
      <c r="H24" s="5"/>
    </row>
    <row r="25" customFormat="false" ht="15" hidden="false" customHeight="false" outlineLevel="0" collapsed="false">
      <c r="A25" s="5"/>
      <c r="B25" s="38" t="s">
        <v>74</v>
      </c>
      <c r="C25" s="39" t="s">
        <v>60</v>
      </c>
      <c r="D25" s="38" t="s">
        <v>61</v>
      </c>
      <c r="E25" s="40" t="n">
        <v>1906</v>
      </c>
      <c r="F25" s="41" t="s">
        <v>54</v>
      </c>
      <c r="G25" s="39" t="n">
        <v>0</v>
      </c>
      <c r="H25" s="5"/>
    </row>
    <row r="26" customFormat="false" ht="15" hidden="false" customHeight="false" outlineLevel="0" collapsed="false">
      <c r="A26" s="5"/>
      <c r="B26" s="34" t="s">
        <v>75</v>
      </c>
      <c r="C26" s="35" t="s">
        <v>63</v>
      </c>
      <c r="D26" s="34" t="s">
        <v>64</v>
      </c>
      <c r="E26" s="36" t="n">
        <v>2503</v>
      </c>
      <c r="F26" s="37" t="s">
        <v>54</v>
      </c>
      <c r="G26" s="35" t="n">
        <v>0</v>
      </c>
      <c r="H26" s="5"/>
    </row>
    <row r="27" customFormat="false" ht="15" hidden="false" customHeight="false" outlineLevel="0" collapsed="false">
      <c r="A27" s="5"/>
      <c r="B27" s="38" t="s">
        <v>76</v>
      </c>
      <c r="C27" s="39" t="s">
        <v>52</v>
      </c>
      <c r="D27" s="38" t="s">
        <v>66</v>
      </c>
      <c r="E27" s="40" t="n">
        <v>18962</v>
      </c>
      <c r="F27" s="41" t="s">
        <v>54</v>
      </c>
      <c r="G27" s="39" t="n">
        <v>6</v>
      </c>
      <c r="H27" s="5"/>
    </row>
    <row r="28" customFormat="false" ht="15" hidden="false" customHeight="false" outlineLevel="0" collapsed="false">
      <c r="A28" s="5"/>
      <c r="B28" s="34" t="s">
        <v>77</v>
      </c>
      <c r="C28" s="35" t="s">
        <v>60</v>
      </c>
      <c r="D28" s="34" t="s">
        <v>68</v>
      </c>
      <c r="E28" s="36" t="n">
        <v>1152</v>
      </c>
      <c r="F28" s="37" t="s">
        <v>54</v>
      </c>
      <c r="G28" s="35" t="n">
        <v>0</v>
      </c>
      <c r="H28" s="5"/>
    </row>
    <row r="29" customFormat="false" ht="15" hidden="false" customHeight="false" outlineLevel="0" collapsed="false">
      <c r="A29" s="5"/>
      <c r="B29" s="38" t="s">
        <v>78</v>
      </c>
      <c r="C29" s="39" t="s">
        <v>52</v>
      </c>
      <c r="D29" s="38" t="s">
        <v>70</v>
      </c>
      <c r="E29" s="40" t="n">
        <v>8180</v>
      </c>
      <c r="F29" s="41" t="s">
        <v>54</v>
      </c>
      <c r="G29" s="39" t="n">
        <v>5</v>
      </c>
      <c r="H29" s="5"/>
    </row>
    <row r="30" customFormat="false" ht="15" hidden="false" customHeight="false" outlineLevel="0" collapsed="false">
      <c r="A30" s="5"/>
      <c r="B30" s="34" t="s">
        <v>79</v>
      </c>
      <c r="C30" s="35" t="s">
        <v>52</v>
      </c>
      <c r="D30" s="34" t="s">
        <v>53</v>
      </c>
      <c r="E30" s="36" t="n">
        <v>10472</v>
      </c>
      <c r="F30" s="37" t="s">
        <v>54</v>
      </c>
      <c r="G30" s="35" t="n">
        <v>5</v>
      </c>
      <c r="H30" s="5"/>
    </row>
    <row r="31" customFormat="false" ht="15" hidden="false" customHeight="false" outlineLevel="0" collapsed="false">
      <c r="A31" s="5"/>
      <c r="B31" s="38" t="s">
        <v>80</v>
      </c>
      <c r="C31" s="39" t="s">
        <v>52</v>
      </c>
      <c r="D31" s="38" t="s">
        <v>56</v>
      </c>
      <c r="E31" s="40" t="n">
        <v>22206</v>
      </c>
      <c r="F31" s="41" t="s">
        <v>54</v>
      </c>
      <c r="G31" s="39" t="n">
        <v>5</v>
      </c>
      <c r="H31" s="5"/>
    </row>
    <row r="32" customFormat="false" ht="15" hidden="false" customHeight="false" outlineLevel="0" collapsed="false">
      <c r="A32" s="5"/>
      <c r="B32" s="34" t="s">
        <v>81</v>
      </c>
      <c r="C32" s="35" t="s">
        <v>63</v>
      </c>
      <c r="D32" s="34" t="s">
        <v>64</v>
      </c>
      <c r="E32" s="36" t="n">
        <v>4989</v>
      </c>
      <c r="F32" s="37" t="s">
        <v>54</v>
      </c>
      <c r="G32" s="35" t="n">
        <v>0</v>
      </c>
      <c r="H32" s="5"/>
    </row>
    <row r="33" customFormat="false" ht="15" hidden="false" customHeight="false" outlineLevel="0" collapsed="false">
      <c r="A33" s="5"/>
      <c r="B33" s="38" t="s">
        <v>82</v>
      </c>
      <c r="C33" s="39" t="s">
        <v>52</v>
      </c>
      <c r="D33" s="38" t="s">
        <v>66</v>
      </c>
      <c r="E33" s="40" t="n">
        <v>14839</v>
      </c>
      <c r="F33" s="41" t="s">
        <v>54</v>
      </c>
      <c r="G33" s="39" t="n">
        <v>6</v>
      </c>
      <c r="H33" s="5"/>
    </row>
    <row r="34" customFormat="false" ht="15" hidden="false" customHeight="false" outlineLevel="0" collapsed="false">
      <c r="A34" s="5"/>
      <c r="H34" s="5"/>
    </row>
    <row r="35" customFormat="false" ht="15" hidden="false" customHeight="false" outlineLevel="0" collapsed="false">
      <c r="A35" s="5"/>
      <c r="H35" s="5"/>
    </row>
    <row r="36" customFormat="false" ht="15" hidden="false" customHeight="false" outlineLevel="0" collapsed="false">
      <c r="A36" s="5"/>
      <c r="H36" s="5"/>
    </row>
    <row r="37" customFormat="false" ht="15" hidden="false" customHeight="false" outlineLevel="0" collapsed="false">
      <c r="A37" s="5"/>
      <c r="H37" s="5"/>
    </row>
    <row r="38" customFormat="false" ht="15" hidden="false" customHeight="false" outlineLevel="0" collapsed="false">
      <c r="A38" s="5"/>
      <c r="H38" s="5"/>
    </row>
    <row r="39" customFormat="false" ht="15" hidden="false" customHeight="false" outlineLevel="0" collapsed="false">
      <c r="A39" s="5"/>
      <c r="H39" s="5"/>
    </row>
    <row r="40" customFormat="false" ht="15" hidden="false" customHeight="false" outlineLevel="0" collapsed="false">
      <c r="A40" s="5"/>
      <c r="B40" s="42" t="s">
        <v>47</v>
      </c>
      <c r="C40" s="42" t="s">
        <v>37</v>
      </c>
      <c r="H40" s="5"/>
    </row>
    <row r="41" customFormat="false" ht="15.75" hidden="false" customHeight="true" outlineLevel="0" collapsed="false">
      <c r="A41" s="5"/>
      <c r="B41" s="42" t="s">
        <v>41</v>
      </c>
      <c r="C41" s="0" t="n">
        <v>16039</v>
      </c>
      <c r="H41" s="5"/>
    </row>
    <row r="42" customFormat="false" ht="15.75" hidden="false" customHeight="true" outlineLevel="0" collapsed="false">
      <c r="A42" s="5"/>
      <c r="B42" s="42" t="s">
        <v>42</v>
      </c>
      <c r="C42" s="0" t="n">
        <v>1569</v>
      </c>
      <c r="H42" s="5"/>
    </row>
    <row r="43" customFormat="false" ht="15.75" hidden="false" customHeight="true" outlineLevel="0" collapsed="false">
      <c r="A43" s="5"/>
      <c r="B43" s="42" t="s">
        <v>43</v>
      </c>
      <c r="C43" s="0" t="n">
        <v>3523</v>
      </c>
      <c r="H43" s="5"/>
    </row>
    <row r="44" customFormat="false" ht="15" hidden="false" customHeight="false" outlineLevel="0" collapsed="false">
      <c r="A44" s="5"/>
      <c r="H44" s="5"/>
    </row>
    <row r="45" customFormat="false" ht="15" hidden="false" customHeight="false" outlineLevel="0" collapsed="false">
      <c r="A45" s="5"/>
      <c r="H45" s="5"/>
    </row>
    <row r="46" customFormat="false" ht="15" hidden="false" customHeight="false" outlineLevel="0" collapsed="false">
      <c r="A46" s="5"/>
      <c r="H46" s="5"/>
    </row>
    <row r="47" customFormat="false" ht="15" hidden="false" customHeight="false" outlineLevel="0" collapsed="false">
      <c r="A47" s="5"/>
      <c r="H47" s="5"/>
    </row>
    <row r="48" customFormat="false" ht="15" hidden="false" customHeight="false" outlineLevel="0" collapsed="false">
      <c r="A48" s="5"/>
      <c r="H48" s="5"/>
    </row>
    <row r="49" customFormat="false" ht="15" hidden="false" customHeight="false" outlineLevel="0" collapsed="false">
      <c r="A49" s="5"/>
      <c r="H49" s="5"/>
    </row>
    <row r="50" customFormat="false" ht="15" hidden="false" customHeight="false" outlineLevel="0" collapsed="false">
      <c r="A50" s="5"/>
      <c r="H50" s="5"/>
    </row>
    <row r="51" customFormat="false" ht="15" hidden="false" customHeight="false" outlineLevel="0" collapsed="false">
      <c r="A51" s="5"/>
      <c r="H51" s="5"/>
    </row>
    <row r="52" customFormat="false" ht="15" hidden="false" customHeight="false" outlineLevel="0" collapsed="false">
      <c r="A52" s="5"/>
      <c r="H52" s="5"/>
    </row>
    <row r="53" customFormat="false" ht="15" hidden="false" customHeight="false" outlineLevel="0" collapsed="false">
      <c r="A53" s="5"/>
      <c r="H53" s="5"/>
    </row>
    <row r="54" customFormat="false" ht="15" hidden="false" customHeight="false" outlineLevel="0" collapsed="false">
      <c r="A54" s="5"/>
      <c r="H54" s="5"/>
    </row>
    <row r="55" customFormat="false" ht="15" hidden="false" customHeight="false" outlineLevel="0" collapsed="false">
      <c r="A55" s="5"/>
      <c r="H55" s="5"/>
    </row>
    <row r="56" customFormat="false" ht="15" hidden="false" customHeight="false" outlineLevel="0" collapsed="false">
      <c r="A56" s="5"/>
      <c r="H56" s="5"/>
    </row>
    <row r="57" customFormat="false" ht="15" hidden="false" customHeight="false" outlineLevel="0" collapsed="false">
      <c r="A57" s="5"/>
      <c r="H57" s="5"/>
    </row>
    <row r="58" customFormat="false" ht="15" hidden="false" customHeight="false" outlineLevel="0" collapsed="false">
      <c r="A58" s="5"/>
      <c r="H58" s="5"/>
    </row>
    <row r="59" customFormat="false" ht="15" hidden="false" customHeight="false" outlineLevel="0" collapsed="false">
      <c r="A59" s="5"/>
      <c r="H59" s="5"/>
    </row>
    <row r="60" customFormat="false" ht="15" hidden="false" customHeight="false" outlineLevel="0" collapsed="false">
      <c r="A60" s="5"/>
      <c r="H60" s="5"/>
    </row>
    <row r="61" customFormat="false" ht="15" hidden="false" customHeight="false" outlineLevel="0" collapsed="false">
      <c r="A61" s="5"/>
      <c r="H61" s="5"/>
    </row>
    <row r="62" customFormat="false" ht="15" hidden="false" customHeight="false" outlineLevel="0" collapsed="false">
      <c r="A62" s="5"/>
      <c r="H62" s="5"/>
    </row>
    <row r="63" customFormat="false" ht="15" hidden="false" customHeight="false" outlineLevel="0" collapsed="false">
      <c r="A63" s="5"/>
      <c r="H63" s="5"/>
    </row>
    <row r="64" customFormat="false" ht="15" hidden="false" customHeight="false" outlineLevel="0" collapsed="false">
      <c r="A64" s="5"/>
      <c r="H64" s="5"/>
    </row>
    <row r="65" customFormat="false" ht="15" hidden="false" customHeight="false" outlineLevel="0" collapsed="false">
      <c r="A65" s="5"/>
      <c r="H65" s="5"/>
    </row>
    <row r="66" customFormat="false" ht="15" hidden="false" customHeight="false" outlineLevel="0" collapsed="false">
      <c r="A66" s="5"/>
      <c r="H66" s="5"/>
    </row>
    <row r="67" customFormat="false" ht="15" hidden="false" customHeight="false" outlineLevel="0" collapsed="false">
      <c r="A67" s="5"/>
      <c r="H67" s="5"/>
    </row>
    <row r="68" customFormat="false" ht="15" hidden="false" customHeight="false" outlineLevel="0" collapsed="false">
      <c r="A68" s="5"/>
      <c r="H68" s="5"/>
    </row>
    <row r="69" customFormat="false" ht="15" hidden="false" customHeight="false" outlineLevel="0" collapsed="false">
      <c r="A69" s="5"/>
      <c r="H69" s="5"/>
    </row>
    <row r="70" customFormat="false" ht="15" hidden="false" customHeight="false" outlineLevel="0" collapsed="false">
      <c r="A70" s="5"/>
      <c r="H70" s="5"/>
    </row>
    <row r="71" customFormat="false" ht="15" hidden="false" customHeight="false" outlineLevel="0" collapsed="false">
      <c r="A71" s="5"/>
      <c r="H71" s="5"/>
    </row>
    <row r="72" customFormat="false" ht="15" hidden="false" customHeight="false" outlineLevel="0" collapsed="false">
      <c r="A72" s="5"/>
      <c r="H72" s="5"/>
    </row>
    <row r="73" customFormat="false" ht="15" hidden="false" customHeight="false" outlineLevel="0" collapsed="false">
      <c r="A73" s="5"/>
      <c r="H73" s="5"/>
    </row>
    <row r="74" customFormat="false" ht="15" hidden="false" customHeight="false" outlineLevel="0" collapsed="false">
      <c r="A74" s="5"/>
      <c r="H74" s="5"/>
    </row>
    <row r="75" customFormat="false" ht="15" hidden="false" customHeight="false" outlineLevel="0" collapsed="false">
      <c r="A75" s="5"/>
      <c r="H75" s="5"/>
    </row>
    <row r="76" customFormat="false" ht="15" hidden="false" customHeight="false" outlineLevel="0" collapsed="false">
      <c r="A76" s="5"/>
      <c r="H76" s="5"/>
    </row>
    <row r="77" customFormat="false" ht="15" hidden="false" customHeight="false" outlineLevel="0" collapsed="false">
      <c r="A77" s="5"/>
      <c r="H77" s="5"/>
    </row>
    <row r="78" customFormat="false" ht="15" hidden="false" customHeight="false" outlineLevel="0" collapsed="false">
      <c r="A78" s="5"/>
      <c r="H78" s="5"/>
    </row>
    <row r="79" customFormat="false" ht="15" hidden="false" customHeight="false" outlineLevel="0" collapsed="false">
      <c r="A79" s="5"/>
      <c r="H79" s="5"/>
    </row>
    <row r="80" customFormat="false" ht="15" hidden="false" customHeight="false" outlineLevel="0" collapsed="false">
      <c r="A80" s="5"/>
      <c r="H80" s="5"/>
    </row>
    <row r="81" customFormat="false" ht="15" hidden="false" customHeight="false" outlineLevel="0" collapsed="false">
      <c r="A81" s="5"/>
      <c r="H81" s="5"/>
    </row>
    <row r="82" customFormat="false" ht="15" hidden="false" customHeight="false" outlineLevel="0" collapsed="false">
      <c r="A82" s="5"/>
      <c r="H82" s="5"/>
    </row>
    <row r="83" customFormat="false" ht="15" hidden="false" customHeight="false" outlineLevel="0" collapsed="false">
      <c r="A83" s="5"/>
      <c r="H83" s="5"/>
    </row>
    <row r="84" customFormat="false" ht="15" hidden="false" customHeight="false" outlineLevel="0" collapsed="false">
      <c r="A84" s="5"/>
      <c r="H84" s="5"/>
    </row>
    <row r="85" customFormat="false" ht="15" hidden="false" customHeight="false" outlineLevel="0" collapsed="false">
      <c r="A85" s="5"/>
      <c r="H85" s="5"/>
    </row>
    <row r="86" customFormat="false" ht="15" hidden="false" customHeight="false" outlineLevel="0" collapsed="false">
      <c r="A86" s="5"/>
      <c r="H86" s="5"/>
    </row>
    <row r="87" customFormat="false" ht="15" hidden="false" customHeight="false" outlineLevel="0" collapsed="false">
      <c r="A87" s="5"/>
      <c r="H87" s="5"/>
    </row>
    <row r="88" customFormat="false" ht="15" hidden="false" customHeight="false" outlineLevel="0" collapsed="false">
      <c r="A88" s="5"/>
      <c r="H88" s="5"/>
    </row>
    <row r="89" customFormat="false" ht="15" hidden="false" customHeight="false" outlineLevel="0" collapsed="false">
      <c r="A89" s="5"/>
      <c r="H89" s="5"/>
    </row>
    <row r="90" customFormat="false" ht="15" hidden="false" customHeight="false" outlineLevel="0" collapsed="false">
      <c r="A90" s="5"/>
      <c r="H90" s="5"/>
    </row>
    <row r="91" customFormat="false" ht="15" hidden="false" customHeight="false" outlineLevel="0" collapsed="false">
      <c r="A91" s="5"/>
      <c r="H91" s="5"/>
    </row>
    <row r="92" customFormat="false" ht="15" hidden="false" customHeight="false" outlineLevel="0" collapsed="false">
      <c r="A92" s="5"/>
      <c r="H92" s="5"/>
    </row>
    <row r="93" customFormat="false" ht="15" hidden="false" customHeight="false" outlineLevel="0" collapsed="false">
      <c r="A93" s="5"/>
      <c r="H93" s="5"/>
    </row>
    <row r="94" customFormat="false" ht="15" hidden="false" customHeight="false" outlineLevel="0" collapsed="false">
      <c r="A94" s="5"/>
      <c r="H94" s="5"/>
    </row>
    <row r="95" customFormat="false" ht="15" hidden="false" customHeight="false" outlineLevel="0" collapsed="false">
      <c r="A95" s="5"/>
      <c r="H95" s="5"/>
    </row>
    <row r="96" customFormat="false" ht="15" hidden="false" customHeight="false" outlineLevel="0" collapsed="false">
      <c r="A96" s="5"/>
      <c r="H96" s="5"/>
    </row>
    <row r="97" customFormat="false" ht="15" hidden="false" customHeight="false" outlineLevel="0" collapsed="false">
      <c r="A97" s="5"/>
      <c r="H97" s="5"/>
    </row>
    <row r="98" customFormat="false" ht="15" hidden="false" customHeight="false" outlineLevel="0" collapsed="false">
      <c r="A98" s="5"/>
      <c r="H98" s="5"/>
    </row>
    <row r="99" customFormat="false" ht="15" hidden="false" customHeight="false" outlineLevel="0" collapsed="false">
      <c r="A99" s="5"/>
      <c r="H99" s="5"/>
    </row>
  </sheetData>
  <mergeCells count="4">
    <mergeCell ref="A2:H2"/>
    <mergeCell ref="A3:H3"/>
    <mergeCell ref="B5:G5"/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820"/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20"/>
    <col collapsed="false" customWidth="true" hidden="false" outlineLevel="0" max="7" min="7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7.5" hidden="false" customHeight="true" outlineLevel="0" collapsed="false">
      <c r="A2" s="26" t="s">
        <v>83</v>
      </c>
      <c r="B2" s="26"/>
      <c r="C2" s="26"/>
      <c r="D2" s="26"/>
      <c r="E2" s="26"/>
      <c r="F2" s="26"/>
      <c r="G2" s="26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5"/>
      <c r="G4" s="5"/>
    </row>
    <row r="5" customFormat="false" ht="15" hidden="false" customHeight="false" outlineLevel="0" collapsed="false">
      <c r="A5" s="5"/>
      <c r="B5" s="15" t="s">
        <v>84</v>
      </c>
      <c r="C5" s="15"/>
      <c r="D5" s="15"/>
      <c r="E5" s="15"/>
      <c r="F5" s="15"/>
      <c r="G5" s="5"/>
    </row>
    <row r="6" customFormat="false" ht="15" hidden="false" customHeight="false" outlineLevel="0" collapsed="false">
      <c r="A6" s="5"/>
      <c r="B6" s="27" t="s">
        <v>35</v>
      </c>
      <c r="C6" s="27" t="s">
        <v>85</v>
      </c>
      <c r="D6" s="27" t="s">
        <v>86</v>
      </c>
      <c r="E6" s="27" t="s">
        <v>87</v>
      </c>
      <c r="F6" s="27" t="s">
        <v>88</v>
      </c>
      <c r="G6" s="5"/>
    </row>
    <row r="7" customFormat="false" ht="15" hidden="false" customHeight="false" outlineLevel="0" collapsed="false">
      <c r="A7" s="5"/>
      <c r="B7" s="28" t="s">
        <v>41</v>
      </c>
      <c r="C7" s="29" t="n">
        <v>110426</v>
      </c>
      <c r="D7" s="29" t="n">
        <v>26199</v>
      </c>
      <c r="E7" s="29" t="n">
        <v>136625</v>
      </c>
      <c r="F7" s="43" t="n">
        <v>0.724263</v>
      </c>
      <c r="G7" s="5"/>
    </row>
    <row r="8" customFormat="false" ht="15" hidden="false" customHeight="false" outlineLevel="0" collapsed="false">
      <c r="A8" s="5"/>
      <c r="B8" s="28" t="s">
        <v>42</v>
      </c>
      <c r="C8" s="29" t="n">
        <v>5124</v>
      </c>
      <c r="D8" s="29" t="n">
        <v>2203</v>
      </c>
      <c r="E8" s="29" t="n">
        <v>7327</v>
      </c>
      <c r="F8" s="43" t="n">
        <v>0.048417</v>
      </c>
      <c r="G8" s="5"/>
    </row>
    <row r="9" customFormat="false" ht="15" hidden="false" customHeight="false" outlineLevel="0" collapsed="false">
      <c r="A9" s="5"/>
      <c r="B9" s="28" t="s">
        <v>89</v>
      </c>
      <c r="C9" s="29" t="n">
        <v>20011</v>
      </c>
      <c r="D9" s="29" t="n">
        <v>5668</v>
      </c>
      <c r="E9" s="29" t="n">
        <v>25679</v>
      </c>
      <c r="F9" s="43" t="n">
        <v>0.145053</v>
      </c>
      <c r="G9" s="5"/>
    </row>
    <row r="10" customFormat="false" ht="15" hidden="false" customHeight="false" outlineLevel="0" collapsed="false">
      <c r="A10" s="5"/>
      <c r="B10" s="31" t="s">
        <v>32</v>
      </c>
      <c r="C10" s="32" t="n">
        <v>135561</v>
      </c>
      <c r="D10" s="32" t="n">
        <v>34070</v>
      </c>
      <c r="E10" s="32" t="n">
        <v>169631</v>
      </c>
      <c r="F10" s="44" t="n">
        <v>0.917733</v>
      </c>
      <c r="G10" s="5"/>
    </row>
    <row r="11" customFormat="false" ht="15" hidden="false" customHeight="false" outlineLevel="0" collapsed="false">
      <c r="A11" s="5"/>
      <c r="G11" s="5"/>
    </row>
    <row r="12" customFormat="false" ht="15" hidden="false" customHeight="false" outlineLevel="0" collapsed="false">
      <c r="A12" s="5"/>
      <c r="B12" s="15" t="s">
        <v>90</v>
      </c>
      <c r="C12" s="15"/>
      <c r="D12" s="15"/>
      <c r="E12" s="15"/>
      <c r="F12" s="15"/>
      <c r="G12" s="5"/>
    </row>
    <row r="13" customFormat="false" ht="15" hidden="false" customHeight="false" outlineLevel="0" collapsed="false">
      <c r="A13" s="5"/>
      <c r="B13" s="27" t="s">
        <v>91</v>
      </c>
      <c r="C13" s="27" t="s">
        <v>25</v>
      </c>
      <c r="D13" s="27" t="s">
        <v>92</v>
      </c>
      <c r="E13" s="27" t="s">
        <v>93</v>
      </c>
      <c r="G13" s="5"/>
    </row>
    <row r="14" customFormat="false" ht="15" hidden="false" customHeight="false" outlineLevel="0" collapsed="false">
      <c r="A14" s="5"/>
      <c r="B14" s="45" t="s">
        <v>94</v>
      </c>
      <c r="C14" s="46" t="n">
        <v>3</v>
      </c>
      <c r="D14" s="47" t="s">
        <v>95</v>
      </c>
      <c r="E14" s="48" t="s">
        <v>96</v>
      </c>
      <c r="G14" s="5"/>
    </row>
    <row r="15" customFormat="false" ht="15" hidden="false" customHeight="false" outlineLevel="0" collapsed="false">
      <c r="A15" s="5"/>
      <c r="B15" s="45" t="s">
        <v>97</v>
      </c>
      <c r="C15" s="46" t="n">
        <v>15</v>
      </c>
      <c r="D15" s="47" t="s">
        <v>95</v>
      </c>
      <c r="E15" s="48" t="s">
        <v>96</v>
      </c>
      <c r="G15" s="5"/>
    </row>
    <row r="16" customFormat="false" ht="15" hidden="false" customHeight="false" outlineLevel="0" collapsed="false">
      <c r="A16" s="5"/>
      <c r="B16" s="45" t="s">
        <v>98</v>
      </c>
      <c r="C16" s="49" t="n">
        <v>135561</v>
      </c>
      <c r="D16" s="47" t="s">
        <v>99</v>
      </c>
      <c r="E16" s="48" t="s">
        <v>100</v>
      </c>
      <c r="G16" s="5"/>
    </row>
    <row r="17" customFormat="false" ht="15" hidden="false" customHeight="false" outlineLevel="0" collapsed="false">
      <c r="A17" s="5"/>
      <c r="B17" s="45" t="s">
        <v>101</v>
      </c>
      <c r="C17" s="49" t="n">
        <v>34070</v>
      </c>
      <c r="D17" s="47" t="s">
        <v>99</v>
      </c>
      <c r="E17" s="48" t="s">
        <v>100</v>
      </c>
      <c r="G17" s="5"/>
    </row>
    <row r="18" customFormat="false" ht="15" hidden="false" customHeight="false" outlineLevel="0" collapsed="false">
      <c r="A18" s="5"/>
      <c r="B18" s="50" t="s">
        <v>102</v>
      </c>
      <c r="C18" s="51" t="n">
        <v>0.917733</v>
      </c>
      <c r="D18" s="52" t="s">
        <v>103</v>
      </c>
      <c r="E18" s="53" t="s">
        <v>104</v>
      </c>
      <c r="G18" s="5"/>
    </row>
    <row r="19" customFormat="false" ht="15" hidden="false" customHeight="false" outlineLevel="0" collapsed="false">
      <c r="A19" s="5"/>
      <c r="G19" s="5"/>
    </row>
    <row r="20" customFormat="false" ht="15" hidden="false" customHeight="false" outlineLevel="0" collapsed="false">
      <c r="A20" s="5"/>
      <c r="G20" s="5"/>
    </row>
    <row r="21" customFormat="false" ht="15" hidden="false" customHeight="false" outlineLevel="0" collapsed="false">
      <c r="A21" s="5"/>
      <c r="G21" s="5"/>
    </row>
    <row r="22" customFormat="false" ht="15" hidden="false" customHeight="false" outlineLevel="0" collapsed="false">
      <c r="A22" s="5"/>
      <c r="G22" s="5"/>
    </row>
    <row r="23" customFormat="false" ht="15" hidden="false" customHeight="false" outlineLevel="0" collapsed="false">
      <c r="A23" s="5"/>
      <c r="G23" s="5"/>
    </row>
    <row r="24" customFormat="false" ht="15" hidden="false" customHeight="false" outlineLevel="0" collapsed="false">
      <c r="A24" s="5"/>
      <c r="G24" s="5"/>
    </row>
    <row r="25" customFormat="false" ht="15" hidden="false" customHeight="false" outlineLevel="0" collapsed="false">
      <c r="A25" s="5"/>
      <c r="G25" s="5"/>
    </row>
    <row r="26" customFormat="false" ht="15" hidden="false" customHeight="false" outlineLevel="0" collapsed="false">
      <c r="A26" s="5"/>
      <c r="G26" s="5"/>
    </row>
    <row r="27" customFormat="false" ht="15" hidden="false" customHeight="false" outlineLevel="0" collapsed="false">
      <c r="A27" s="5"/>
      <c r="G27" s="5"/>
    </row>
    <row r="28" customFormat="false" ht="15" hidden="false" customHeight="false" outlineLevel="0" collapsed="false">
      <c r="A28" s="5"/>
      <c r="G28" s="5"/>
    </row>
    <row r="29" customFormat="false" ht="15" hidden="false" customHeight="false" outlineLevel="0" collapsed="false">
      <c r="A29" s="5"/>
      <c r="G29" s="5"/>
    </row>
    <row r="30" customFormat="false" ht="15" hidden="false" customHeight="false" outlineLevel="0" collapsed="false">
      <c r="A30" s="5"/>
      <c r="G30" s="5"/>
    </row>
    <row r="31" customFormat="false" ht="15" hidden="false" customHeight="false" outlineLevel="0" collapsed="false">
      <c r="A31" s="5"/>
      <c r="G31" s="5"/>
    </row>
    <row r="32" customFormat="false" ht="15" hidden="false" customHeight="false" outlineLevel="0" collapsed="false">
      <c r="A32" s="5"/>
      <c r="G32" s="5"/>
    </row>
    <row r="33" customFormat="false" ht="15" hidden="false" customHeight="false" outlineLevel="0" collapsed="false">
      <c r="A33" s="5"/>
      <c r="G33" s="5"/>
    </row>
    <row r="34" customFormat="false" ht="15" hidden="false" customHeight="false" outlineLevel="0" collapsed="false">
      <c r="A34" s="5"/>
      <c r="G34" s="5"/>
    </row>
    <row r="35" customFormat="false" ht="15" hidden="false" customHeight="false" outlineLevel="0" collapsed="false">
      <c r="A35" s="5"/>
      <c r="B35" s="42" t="s">
        <v>105</v>
      </c>
      <c r="C35" s="42" t="s">
        <v>106</v>
      </c>
      <c r="G35" s="5"/>
    </row>
    <row r="36" customFormat="false" ht="15" hidden="false" customHeight="false" outlineLevel="0" collapsed="false">
      <c r="A36" s="5"/>
      <c r="B36" s="42" t="s">
        <v>107</v>
      </c>
      <c r="C36" s="0" t="n">
        <v>135561</v>
      </c>
      <c r="G36" s="5"/>
    </row>
    <row r="37" customFormat="false" ht="15" hidden="false" customHeight="false" outlineLevel="0" collapsed="false">
      <c r="A37" s="5"/>
      <c r="B37" s="42" t="s">
        <v>108</v>
      </c>
      <c r="C37" s="0" t="n">
        <v>34070</v>
      </c>
      <c r="G37" s="5"/>
    </row>
    <row r="38" customFormat="false" ht="15" hidden="false" customHeight="false" outlineLevel="0" collapsed="false">
      <c r="A38" s="5"/>
      <c r="G38" s="5"/>
    </row>
    <row r="39" customFormat="false" ht="15" hidden="false" customHeight="false" outlineLevel="0" collapsed="false">
      <c r="A39" s="5"/>
      <c r="G39" s="5"/>
    </row>
    <row r="40" customFormat="false" ht="15" hidden="false" customHeight="false" outlineLevel="0" collapsed="false">
      <c r="A40" s="5"/>
      <c r="G40" s="5"/>
    </row>
    <row r="41" customFormat="false" ht="15" hidden="false" customHeight="false" outlineLevel="0" collapsed="false">
      <c r="A41" s="5"/>
      <c r="G41" s="5"/>
    </row>
    <row r="42" customFormat="false" ht="15" hidden="false" customHeight="false" outlineLevel="0" collapsed="false">
      <c r="A42" s="5"/>
      <c r="G42" s="5"/>
    </row>
    <row r="43" customFormat="false" ht="15" hidden="false" customHeight="false" outlineLevel="0" collapsed="false">
      <c r="A43" s="5"/>
      <c r="G43" s="5"/>
    </row>
    <row r="44" customFormat="false" ht="15" hidden="false" customHeight="false" outlineLevel="0" collapsed="false">
      <c r="A44" s="5"/>
      <c r="G44" s="5"/>
    </row>
    <row r="45" customFormat="false" ht="15" hidden="false" customHeight="false" outlineLevel="0" collapsed="false">
      <c r="A45" s="5"/>
      <c r="G45" s="5"/>
    </row>
    <row r="46" customFormat="false" ht="15" hidden="false" customHeight="false" outlineLevel="0" collapsed="false">
      <c r="A46" s="5"/>
      <c r="G46" s="5"/>
    </row>
    <row r="47" customFormat="false" ht="15" hidden="false" customHeight="false" outlineLevel="0" collapsed="false">
      <c r="A47" s="5"/>
      <c r="G47" s="5"/>
    </row>
    <row r="48" customFormat="false" ht="15" hidden="false" customHeight="false" outlineLevel="0" collapsed="false">
      <c r="A48" s="5"/>
      <c r="G48" s="5"/>
    </row>
    <row r="49" customFormat="false" ht="15" hidden="false" customHeight="false" outlineLevel="0" collapsed="false">
      <c r="A49" s="5"/>
      <c r="G49" s="5"/>
    </row>
    <row r="50" customFormat="false" ht="15" hidden="false" customHeight="false" outlineLevel="0" collapsed="false">
      <c r="A50" s="5"/>
      <c r="G50" s="5"/>
    </row>
    <row r="51" customFormat="false" ht="15" hidden="false" customHeight="false" outlineLevel="0" collapsed="false">
      <c r="A51" s="5"/>
      <c r="G51" s="5"/>
    </row>
    <row r="52" customFormat="false" ht="15" hidden="false" customHeight="false" outlineLevel="0" collapsed="false">
      <c r="A52" s="5"/>
      <c r="G52" s="5"/>
    </row>
    <row r="53" customFormat="false" ht="15" hidden="false" customHeight="false" outlineLevel="0" collapsed="false">
      <c r="A53" s="5"/>
      <c r="G53" s="5"/>
    </row>
    <row r="54" customFormat="false" ht="15" hidden="false" customHeight="false" outlineLevel="0" collapsed="false">
      <c r="A54" s="5"/>
      <c r="G54" s="5"/>
    </row>
    <row r="55" customFormat="false" ht="15" hidden="false" customHeight="false" outlineLevel="0" collapsed="false">
      <c r="A55" s="5"/>
      <c r="G55" s="5"/>
    </row>
    <row r="56" customFormat="false" ht="15" hidden="false" customHeight="false" outlineLevel="0" collapsed="false">
      <c r="A56" s="5"/>
      <c r="G56" s="5"/>
    </row>
    <row r="57" customFormat="false" ht="15" hidden="false" customHeight="false" outlineLevel="0" collapsed="false">
      <c r="A57" s="5"/>
      <c r="G57" s="5"/>
    </row>
    <row r="58" customFormat="false" ht="15" hidden="false" customHeight="false" outlineLevel="0" collapsed="false">
      <c r="A58" s="5"/>
      <c r="G58" s="5"/>
    </row>
    <row r="59" customFormat="false" ht="15" hidden="false" customHeight="false" outlineLevel="0" collapsed="false">
      <c r="A59" s="5"/>
      <c r="G59" s="5"/>
    </row>
    <row r="60" customFormat="false" ht="15" hidden="false" customHeight="false" outlineLevel="0" collapsed="false">
      <c r="A60" s="5"/>
      <c r="G60" s="5"/>
    </row>
    <row r="61" customFormat="false" ht="15" hidden="false" customHeight="false" outlineLevel="0" collapsed="false">
      <c r="A61" s="5"/>
      <c r="G61" s="5"/>
    </row>
    <row r="62" customFormat="false" ht="15" hidden="false" customHeight="false" outlineLevel="0" collapsed="false">
      <c r="A62" s="5"/>
      <c r="G62" s="5"/>
    </row>
    <row r="63" customFormat="false" ht="15" hidden="false" customHeight="false" outlineLevel="0" collapsed="false">
      <c r="A63" s="5"/>
      <c r="G63" s="5"/>
    </row>
    <row r="64" customFormat="false" ht="15" hidden="false" customHeight="false" outlineLevel="0" collapsed="false">
      <c r="A64" s="5"/>
      <c r="G64" s="5"/>
    </row>
    <row r="65" customFormat="false" ht="15" hidden="false" customHeight="false" outlineLevel="0" collapsed="false">
      <c r="A65" s="5"/>
      <c r="G65" s="5"/>
    </row>
    <row r="66" customFormat="false" ht="15" hidden="false" customHeight="false" outlineLevel="0" collapsed="false">
      <c r="A66" s="5"/>
      <c r="G66" s="5"/>
    </row>
    <row r="67" customFormat="false" ht="15" hidden="false" customHeight="false" outlineLevel="0" collapsed="false">
      <c r="A67" s="5"/>
      <c r="G67" s="5"/>
    </row>
    <row r="68" customFormat="false" ht="15" hidden="false" customHeight="false" outlineLevel="0" collapsed="false">
      <c r="A68" s="5"/>
      <c r="G68" s="5"/>
    </row>
    <row r="69" customFormat="false" ht="15" hidden="false" customHeight="false" outlineLevel="0" collapsed="false">
      <c r="A69" s="5"/>
      <c r="G69" s="5"/>
    </row>
    <row r="70" customFormat="false" ht="15" hidden="false" customHeight="false" outlineLevel="0" collapsed="false">
      <c r="A70" s="5"/>
      <c r="G70" s="5"/>
    </row>
    <row r="71" customFormat="false" ht="15" hidden="false" customHeight="false" outlineLevel="0" collapsed="false">
      <c r="A71" s="5"/>
      <c r="G71" s="5"/>
    </row>
    <row r="72" customFormat="false" ht="15" hidden="false" customHeight="false" outlineLevel="0" collapsed="false">
      <c r="A72" s="5"/>
      <c r="G72" s="5"/>
    </row>
    <row r="73" customFormat="false" ht="15" hidden="false" customHeight="false" outlineLevel="0" collapsed="false">
      <c r="A73" s="5"/>
      <c r="G73" s="5"/>
    </row>
    <row r="74" customFormat="false" ht="15" hidden="false" customHeight="false" outlineLevel="0" collapsed="false">
      <c r="A74" s="5"/>
      <c r="G74" s="5"/>
    </row>
    <row r="75" customFormat="false" ht="15" hidden="false" customHeight="false" outlineLevel="0" collapsed="false">
      <c r="A75" s="5"/>
      <c r="G75" s="5"/>
    </row>
    <row r="76" customFormat="false" ht="15" hidden="false" customHeight="false" outlineLevel="0" collapsed="false">
      <c r="A76" s="5"/>
      <c r="G76" s="5"/>
    </row>
    <row r="77" customFormat="false" ht="15" hidden="false" customHeight="false" outlineLevel="0" collapsed="false">
      <c r="A77" s="5"/>
      <c r="G77" s="5"/>
    </row>
    <row r="78" customFormat="false" ht="15" hidden="false" customHeight="false" outlineLevel="0" collapsed="false">
      <c r="A78" s="5"/>
      <c r="G78" s="5"/>
    </row>
    <row r="79" customFormat="false" ht="15" hidden="false" customHeight="false" outlineLevel="0" collapsed="false">
      <c r="A79" s="5"/>
      <c r="G79" s="5"/>
    </row>
    <row r="80" customFormat="false" ht="15" hidden="false" customHeight="false" outlineLevel="0" collapsed="false">
      <c r="A80" s="5"/>
      <c r="G80" s="5"/>
    </row>
    <row r="81" customFormat="false" ht="15" hidden="false" customHeight="false" outlineLevel="0" collapsed="false">
      <c r="A81" s="5"/>
      <c r="G81" s="5"/>
    </row>
    <row r="82" customFormat="false" ht="15" hidden="false" customHeight="false" outlineLevel="0" collapsed="false">
      <c r="A82" s="5"/>
      <c r="G82" s="5"/>
    </row>
    <row r="83" customFormat="false" ht="15" hidden="false" customHeight="false" outlineLevel="0" collapsed="false">
      <c r="A83" s="5"/>
      <c r="G83" s="5"/>
    </row>
    <row r="84" customFormat="false" ht="15" hidden="false" customHeight="false" outlineLevel="0" collapsed="false">
      <c r="A84" s="5"/>
      <c r="G84" s="5"/>
    </row>
    <row r="85" customFormat="false" ht="15" hidden="false" customHeight="false" outlineLevel="0" collapsed="false">
      <c r="A85" s="5"/>
      <c r="G85" s="5"/>
    </row>
    <row r="86" customFormat="false" ht="15" hidden="false" customHeight="false" outlineLevel="0" collapsed="false">
      <c r="A86" s="5"/>
      <c r="G86" s="5"/>
    </row>
    <row r="87" customFormat="false" ht="15" hidden="false" customHeight="false" outlineLevel="0" collapsed="false">
      <c r="A87" s="5"/>
      <c r="G87" s="5"/>
    </row>
    <row r="88" customFormat="false" ht="15" hidden="false" customHeight="false" outlineLevel="0" collapsed="false">
      <c r="A88" s="5"/>
      <c r="G88" s="5"/>
    </row>
    <row r="89" customFormat="false" ht="15" hidden="false" customHeight="false" outlineLevel="0" collapsed="false">
      <c r="A89" s="5"/>
      <c r="G89" s="5"/>
    </row>
    <row r="90" customFormat="false" ht="15" hidden="false" customHeight="false" outlineLevel="0" collapsed="false">
      <c r="A90" s="5"/>
      <c r="G90" s="5"/>
    </row>
    <row r="91" customFormat="false" ht="15" hidden="false" customHeight="false" outlineLevel="0" collapsed="false">
      <c r="A91" s="5"/>
      <c r="G91" s="5"/>
    </row>
    <row r="92" customFormat="false" ht="15" hidden="false" customHeight="false" outlineLevel="0" collapsed="false">
      <c r="A92" s="5"/>
      <c r="G92" s="5"/>
    </row>
    <row r="93" customFormat="false" ht="15" hidden="false" customHeight="false" outlineLevel="0" collapsed="false">
      <c r="A93" s="5"/>
      <c r="G93" s="5"/>
    </row>
    <row r="94" customFormat="false" ht="15" hidden="false" customHeight="false" outlineLevel="0" collapsed="false">
      <c r="A94" s="5"/>
      <c r="G94" s="5"/>
    </row>
    <row r="95" customFormat="false" ht="15" hidden="false" customHeight="false" outlineLevel="0" collapsed="false">
      <c r="A95" s="5"/>
      <c r="G95" s="5"/>
    </row>
    <row r="96" customFormat="false" ht="15" hidden="false" customHeight="false" outlineLevel="0" collapsed="false">
      <c r="A96" s="5"/>
      <c r="G96" s="5"/>
    </row>
    <row r="97" customFormat="false" ht="15" hidden="false" customHeight="false" outlineLevel="0" collapsed="false">
      <c r="A97" s="5"/>
      <c r="G97" s="5"/>
    </row>
    <row r="98" customFormat="false" ht="15" hidden="false" customHeight="false" outlineLevel="0" collapsed="false">
      <c r="A98" s="5"/>
      <c r="G98" s="5"/>
    </row>
    <row r="99" customFormat="false" ht="15" hidden="false" customHeight="false" outlineLevel="0" collapsed="false">
      <c r="A99" s="5"/>
      <c r="G99" s="5"/>
    </row>
  </sheetData>
  <mergeCells count="5">
    <mergeCell ref="A1:G1"/>
    <mergeCell ref="A2:G2"/>
    <mergeCell ref="A3:G3"/>
    <mergeCell ref="B5:F5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2"/>
  </cols>
  <sheetData>
    <row r="1" customFormat="false" ht="7.5" hidden="false" customHeight="true" outlineLevel="0" collapsed="false">
      <c r="A1" s="5"/>
      <c r="K1" s="5"/>
    </row>
    <row r="2" customFormat="false" ht="37.5" hidden="false" customHeight="true" outlineLevel="0" collapsed="false">
      <c r="A2" s="26" t="s">
        <v>109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5"/>
      <c r="K4" s="5"/>
    </row>
    <row r="5" customFormat="false" ht="15" hidden="false" customHeight="false" outlineLevel="0" collapsed="false">
      <c r="A5" s="5"/>
      <c r="B5" s="15" t="s">
        <v>110</v>
      </c>
      <c r="C5" s="15"/>
      <c r="D5" s="15"/>
      <c r="E5" s="15"/>
      <c r="F5" s="15"/>
      <c r="G5" s="15"/>
      <c r="H5" s="15"/>
      <c r="I5" s="15"/>
      <c r="J5" s="15"/>
      <c r="K5" s="5"/>
    </row>
    <row r="6" customFormat="false" ht="15" hidden="false" customHeight="false" outlineLevel="0" collapsed="false">
      <c r="A6" s="5"/>
      <c r="B6" s="27" t="s">
        <v>111</v>
      </c>
      <c r="C6" s="27" t="s">
        <v>47</v>
      </c>
      <c r="D6" s="27" t="s">
        <v>48</v>
      </c>
      <c r="E6" s="27" t="s">
        <v>49</v>
      </c>
      <c r="F6" s="27" t="s">
        <v>85</v>
      </c>
      <c r="G6" s="27" t="s">
        <v>86</v>
      </c>
      <c r="H6" s="27" t="s">
        <v>50</v>
      </c>
      <c r="I6" s="27" t="s">
        <v>112</v>
      </c>
      <c r="J6" s="27" t="s">
        <v>113</v>
      </c>
      <c r="K6" s="5"/>
    </row>
    <row r="7" customFormat="false" ht="15.75" hidden="false" customHeight="true" outlineLevel="0" collapsed="false">
      <c r="A7" s="5"/>
      <c r="B7" s="54" t="n">
        <v>46204.3099653125</v>
      </c>
      <c r="C7" s="55" t="s">
        <v>52</v>
      </c>
      <c r="D7" s="34" t="s">
        <v>53</v>
      </c>
      <c r="E7" s="56" t="n">
        <v>17767</v>
      </c>
      <c r="F7" s="57" t="n">
        <v>1754</v>
      </c>
      <c r="G7" s="57" t="n">
        <v>649</v>
      </c>
      <c r="H7" s="58" t="n">
        <v>3</v>
      </c>
      <c r="I7" s="36" t="n">
        <v>3</v>
      </c>
      <c r="J7" s="58" t="n">
        <v>0</v>
      </c>
      <c r="K7" s="5"/>
    </row>
    <row r="8" customFormat="false" ht="15.75" hidden="false" customHeight="true" outlineLevel="0" collapsed="false">
      <c r="A8" s="5"/>
      <c r="B8" s="59" t="n">
        <v>46204.3331134607</v>
      </c>
      <c r="C8" s="60" t="s">
        <v>52</v>
      </c>
      <c r="D8" s="38" t="s">
        <v>56</v>
      </c>
      <c r="E8" s="61" t="n">
        <v>17215</v>
      </c>
      <c r="F8" s="62" t="n">
        <v>3119</v>
      </c>
      <c r="G8" s="62" t="n">
        <v>1441</v>
      </c>
      <c r="H8" s="63" t="n">
        <v>5</v>
      </c>
      <c r="I8" s="40" t="n">
        <v>6</v>
      </c>
      <c r="J8" s="64" t="n">
        <v>5</v>
      </c>
      <c r="K8" s="5"/>
    </row>
    <row r="9" customFormat="false" ht="15.75" hidden="false" customHeight="true" outlineLevel="0" collapsed="false">
      <c r="A9" s="5"/>
      <c r="B9" s="54" t="n">
        <v>46204.3562616088</v>
      </c>
      <c r="C9" s="55" t="s">
        <v>52</v>
      </c>
      <c r="D9" s="34" t="s">
        <v>58</v>
      </c>
      <c r="E9" s="56" t="n">
        <v>13779</v>
      </c>
      <c r="F9" s="57" t="n">
        <v>6113</v>
      </c>
      <c r="G9" s="57" t="n">
        <v>1455</v>
      </c>
      <c r="H9" s="58" t="n">
        <v>4</v>
      </c>
      <c r="I9" s="36" t="n">
        <v>2</v>
      </c>
      <c r="J9" s="58" t="n">
        <v>0</v>
      </c>
      <c r="K9" s="5"/>
    </row>
    <row r="10" customFormat="false" ht="15.75" hidden="false" customHeight="true" outlineLevel="0" collapsed="false">
      <c r="A10" s="5"/>
      <c r="B10" s="59" t="n">
        <v>46204.379409757</v>
      </c>
      <c r="C10" s="65" t="s">
        <v>60</v>
      </c>
      <c r="D10" s="38" t="s">
        <v>61</v>
      </c>
      <c r="E10" s="61" t="n">
        <v>2174</v>
      </c>
      <c r="F10" s="62" t="n">
        <v>467</v>
      </c>
      <c r="G10" s="62" t="n">
        <v>104</v>
      </c>
      <c r="H10" s="63" t="n">
        <v>0</v>
      </c>
      <c r="I10" s="39" t="s">
        <v>114</v>
      </c>
      <c r="J10" s="66" t="s">
        <v>114</v>
      </c>
      <c r="K10" s="5"/>
    </row>
    <row r="11" customFormat="false" ht="15.75" hidden="false" customHeight="true" outlineLevel="0" collapsed="false">
      <c r="A11" s="5"/>
      <c r="B11" s="54" t="n">
        <v>46204.4025579051</v>
      </c>
      <c r="C11" s="67" t="s">
        <v>63</v>
      </c>
      <c r="D11" s="34" t="s">
        <v>64</v>
      </c>
      <c r="E11" s="56" t="n">
        <v>3858</v>
      </c>
      <c r="F11" s="57" t="n">
        <v>4509</v>
      </c>
      <c r="G11" s="57" t="n">
        <v>1181</v>
      </c>
      <c r="H11" s="58" t="n">
        <v>0</v>
      </c>
      <c r="I11" s="35" t="s">
        <v>114</v>
      </c>
      <c r="J11" s="68" t="s">
        <v>114</v>
      </c>
      <c r="K11" s="5"/>
    </row>
    <row r="12" customFormat="false" ht="15.75" hidden="false" customHeight="true" outlineLevel="0" collapsed="false">
      <c r="A12" s="5"/>
      <c r="B12" s="59" t="n">
        <v>46204.4257060532</v>
      </c>
      <c r="C12" s="60" t="s">
        <v>52</v>
      </c>
      <c r="D12" s="38" t="s">
        <v>66</v>
      </c>
      <c r="E12" s="61" t="n">
        <v>14694</v>
      </c>
      <c r="F12" s="62" t="n">
        <v>4897</v>
      </c>
      <c r="G12" s="62" t="n">
        <v>858</v>
      </c>
      <c r="H12" s="63" t="n">
        <v>3</v>
      </c>
      <c r="I12" s="40" t="n">
        <v>5</v>
      </c>
      <c r="J12" s="64" t="n">
        <v>2</v>
      </c>
      <c r="K12" s="5"/>
    </row>
    <row r="13" customFormat="false" ht="15.75" hidden="false" customHeight="true" outlineLevel="0" collapsed="false">
      <c r="A13" s="5"/>
      <c r="B13" s="54" t="n">
        <v>46204.4488542014</v>
      </c>
      <c r="C13" s="69" t="s">
        <v>60</v>
      </c>
      <c r="D13" s="34" t="s">
        <v>68</v>
      </c>
      <c r="E13" s="56" t="n">
        <v>1159</v>
      </c>
      <c r="F13" s="57" t="n">
        <v>382</v>
      </c>
      <c r="G13" s="57" t="n">
        <v>335</v>
      </c>
      <c r="H13" s="58" t="n">
        <v>0</v>
      </c>
      <c r="I13" s="35" t="s">
        <v>114</v>
      </c>
      <c r="J13" s="68" t="s">
        <v>114</v>
      </c>
      <c r="K13" s="5"/>
    </row>
    <row r="14" customFormat="false" ht="15.75" hidden="false" customHeight="true" outlineLevel="0" collapsed="false">
      <c r="A14" s="5"/>
      <c r="B14" s="59" t="n">
        <v>46204.4720023495</v>
      </c>
      <c r="C14" s="60" t="s">
        <v>52</v>
      </c>
      <c r="D14" s="38" t="s">
        <v>70</v>
      </c>
      <c r="E14" s="61" t="n">
        <v>20224</v>
      </c>
      <c r="F14" s="62" t="n">
        <v>1314</v>
      </c>
      <c r="G14" s="62" t="n">
        <v>477</v>
      </c>
      <c r="H14" s="63" t="n">
        <v>6</v>
      </c>
      <c r="I14" s="40" t="n">
        <v>3</v>
      </c>
      <c r="J14" s="63" t="n">
        <v>0</v>
      </c>
      <c r="K14" s="5"/>
    </row>
    <row r="15" customFormat="false" ht="15.75" hidden="false" customHeight="true" outlineLevel="0" collapsed="false">
      <c r="A15" s="5"/>
      <c r="B15" s="54" t="n">
        <v>46204.4951504977</v>
      </c>
      <c r="C15" s="55" t="s">
        <v>52</v>
      </c>
      <c r="D15" s="34" t="s">
        <v>53</v>
      </c>
      <c r="E15" s="56" t="n">
        <v>9246</v>
      </c>
      <c r="F15" s="57" t="n">
        <v>6393</v>
      </c>
      <c r="G15" s="57" t="n">
        <v>1675</v>
      </c>
      <c r="H15" s="58" t="n">
        <v>4</v>
      </c>
      <c r="I15" s="36" t="n">
        <v>0</v>
      </c>
      <c r="J15" s="58" t="n">
        <v>0</v>
      </c>
      <c r="K15" s="5"/>
    </row>
    <row r="16" customFormat="false" ht="15.75" hidden="false" customHeight="true" outlineLevel="0" collapsed="false">
      <c r="A16" s="5"/>
      <c r="B16" s="59" t="n">
        <v>46204.5182986458</v>
      </c>
      <c r="C16" s="60" t="s">
        <v>52</v>
      </c>
      <c r="D16" s="38" t="s">
        <v>56</v>
      </c>
      <c r="E16" s="61" t="n">
        <v>8669</v>
      </c>
      <c r="F16" s="62" t="n">
        <v>5949</v>
      </c>
      <c r="G16" s="62" t="n">
        <v>1733</v>
      </c>
      <c r="H16" s="63" t="n">
        <v>3</v>
      </c>
      <c r="I16" s="40" t="n">
        <v>0</v>
      </c>
      <c r="J16" s="63" t="n">
        <v>0</v>
      </c>
      <c r="K16" s="5"/>
    </row>
    <row r="17" customFormat="false" ht="15.75" hidden="false" customHeight="true" outlineLevel="0" collapsed="false">
      <c r="A17" s="5"/>
      <c r="B17" s="54" t="n">
        <v>46204.541446794</v>
      </c>
      <c r="C17" s="55" t="s">
        <v>52</v>
      </c>
      <c r="D17" s="34" t="s">
        <v>58</v>
      </c>
      <c r="E17" s="56" t="n">
        <v>17608</v>
      </c>
      <c r="F17" s="57" t="n">
        <v>2000</v>
      </c>
      <c r="G17" s="57" t="n">
        <v>746</v>
      </c>
      <c r="H17" s="58" t="n">
        <v>4</v>
      </c>
      <c r="I17" s="36" t="n">
        <v>6</v>
      </c>
      <c r="J17" s="70" t="n">
        <v>5</v>
      </c>
      <c r="K17" s="5"/>
    </row>
    <row r="18" customFormat="false" ht="15.75" hidden="false" customHeight="true" outlineLevel="0" collapsed="false">
      <c r="A18" s="5"/>
      <c r="B18" s="59" t="n">
        <v>46204.5645949421</v>
      </c>
      <c r="C18" s="65" t="s">
        <v>60</v>
      </c>
      <c r="D18" s="38" t="s">
        <v>61</v>
      </c>
      <c r="E18" s="61" t="n">
        <v>1906</v>
      </c>
      <c r="F18" s="62" t="n">
        <v>763</v>
      </c>
      <c r="G18" s="62" t="n">
        <v>247</v>
      </c>
      <c r="H18" s="63" t="n">
        <v>0</v>
      </c>
      <c r="I18" s="39" t="s">
        <v>114</v>
      </c>
      <c r="J18" s="66" t="s">
        <v>114</v>
      </c>
      <c r="K18" s="5"/>
    </row>
    <row r="19" customFormat="false" ht="15.75" hidden="false" customHeight="true" outlineLevel="0" collapsed="false">
      <c r="A19" s="5"/>
      <c r="B19" s="54" t="n">
        <v>46204.5877430903</v>
      </c>
      <c r="C19" s="67" t="s">
        <v>63</v>
      </c>
      <c r="D19" s="34" t="s">
        <v>64</v>
      </c>
      <c r="E19" s="56" t="n">
        <v>2503</v>
      </c>
      <c r="F19" s="57" t="n">
        <v>2894</v>
      </c>
      <c r="G19" s="57" t="n">
        <v>1017</v>
      </c>
      <c r="H19" s="58" t="n">
        <v>0</v>
      </c>
      <c r="I19" s="35" t="s">
        <v>114</v>
      </c>
      <c r="J19" s="68" t="s">
        <v>114</v>
      </c>
      <c r="K19" s="5"/>
    </row>
    <row r="20" customFormat="false" ht="15.75" hidden="false" customHeight="true" outlineLevel="0" collapsed="false">
      <c r="A20" s="5"/>
      <c r="B20" s="59" t="n">
        <v>46204.6108912384</v>
      </c>
      <c r="C20" s="60" t="s">
        <v>52</v>
      </c>
      <c r="D20" s="38" t="s">
        <v>66</v>
      </c>
      <c r="E20" s="61" t="n">
        <v>18962</v>
      </c>
      <c r="F20" s="62" t="n">
        <v>6968</v>
      </c>
      <c r="G20" s="62" t="n">
        <v>1052</v>
      </c>
      <c r="H20" s="63" t="n">
        <v>6</v>
      </c>
      <c r="I20" s="40" t="n">
        <v>3</v>
      </c>
      <c r="J20" s="63" t="n">
        <v>0</v>
      </c>
      <c r="K20" s="5"/>
    </row>
    <row r="21" customFormat="false" ht="15.75" hidden="false" customHeight="true" outlineLevel="0" collapsed="false">
      <c r="A21" s="5"/>
      <c r="B21" s="54" t="n">
        <v>46204.6340393866</v>
      </c>
      <c r="C21" s="69" t="s">
        <v>60</v>
      </c>
      <c r="D21" s="34" t="s">
        <v>68</v>
      </c>
      <c r="E21" s="56" t="n">
        <v>1152</v>
      </c>
      <c r="F21" s="57" t="n">
        <v>605</v>
      </c>
      <c r="G21" s="57" t="n">
        <v>357</v>
      </c>
      <c r="H21" s="58" t="n">
        <v>0</v>
      </c>
      <c r="I21" s="35" t="s">
        <v>114</v>
      </c>
      <c r="J21" s="68" t="s">
        <v>114</v>
      </c>
      <c r="K21" s="5"/>
    </row>
    <row r="22" customFormat="false" ht="15.75" hidden="false" customHeight="true" outlineLevel="0" collapsed="false">
      <c r="A22" s="5"/>
      <c r="B22" s="59" t="n">
        <v>46204.6571875347</v>
      </c>
      <c r="C22" s="60" t="s">
        <v>52</v>
      </c>
      <c r="D22" s="38" t="s">
        <v>70</v>
      </c>
      <c r="E22" s="61" t="n">
        <v>8180</v>
      </c>
      <c r="F22" s="62" t="n">
        <v>4521</v>
      </c>
      <c r="G22" s="62" t="n">
        <v>1523</v>
      </c>
      <c r="H22" s="63" t="n">
        <v>5</v>
      </c>
      <c r="I22" s="40" t="n">
        <v>6</v>
      </c>
      <c r="J22" s="64" t="n">
        <v>5</v>
      </c>
      <c r="K22" s="5"/>
    </row>
    <row r="23" customFormat="false" ht="15.75" hidden="false" customHeight="true" outlineLevel="0" collapsed="false">
      <c r="A23" s="5"/>
      <c r="B23" s="54" t="n">
        <v>46204.6803356829</v>
      </c>
      <c r="C23" s="55" t="s">
        <v>52</v>
      </c>
      <c r="D23" s="34" t="s">
        <v>53</v>
      </c>
      <c r="E23" s="56" t="n">
        <v>10472</v>
      </c>
      <c r="F23" s="57" t="n">
        <v>1263</v>
      </c>
      <c r="G23" s="57" t="n">
        <v>742</v>
      </c>
      <c r="H23" s="58" t="n">
        <v>5</v>
      </c>
      <c r="I23" s="36" t="n">
        <v>0</v>
      </c>
      <c r="J23" s="58" t="n">
        <v>0</v>
      </c>
      <c r="K23" s="5"/>
    </row>
    <row r="24" customFormat="false" ht="15.75" hidden="false" customHeight="true" outlineLevel="0" collapsed="false">
      <c r="A24" s="5"/>
      <c r="B24" s="59" t="n">
        <v>46204.703483831</v>
      </c>
      <c r="C24" s="60" t="s">
        <v>52</v>
      </c>
      <c r="D24" s="38" t="s">
        <v>56</v>
      </c>
      <c r="E24" s="61" t="n">
        <v>22206</v>
      </c>
      <c r="F24" s="62" t="n">
        <v>6003</v>
      </c>
      <c r="G24" s="62" t="n">
        <v>937</v>
      </c>
      <c r="H24" s="63" t="n">
        <v>5</v>
      </c>
      <c r="I24" s="40" t="n">
        <v>4</v>
      </c>
      <c r="J24" s="64" t="n">
        <v>2</v>
      </c>
      <c r="K24" s="5"/>
    </row>
    <row r="25" customFormat="false" ht="15.75" hidden="false" customHeight="true" outlineLevel="0" collapsed="false">
      <c r="A25" s="5"/>
      <c r="B25" s="71" t="n">
        <v>46204.7266319792</v>
      </c>
      <c r="C25" s="72" t="s">
        <v>52</v>
      </c>
      <c r="D25" s="73" t="s">
        <v>58</v>
      </c>
      <c r="E25" s="74" t="n">
        <v>22197</v>
      </c>
      <c r="F25" s="75" t="n">
        <v>0</v>
      </c>
      <c r="G25" s="75" t="n">
        <v>0</v>
      </c>
      <c r="H25" s="76" t="n">
        <v>3</v>
      </c>
      <c r="I25" s="77" t="n">
        <v>0</v>
      </c>
      <c r="J25" s="76" t="n">
        <v>0</v>
      </c>
      <c r="K25" s="5"/>
    </row>
    <row r="26" customFormat="false" ht="15.75" hidden="false" customHeight="true" outlineLevel="0" collapsed="false">
      <c r="A26" s="5"/>
      <c r="B26" s="71" t="n">
        <v>46204.7497801273</v>
      </c>
      <c r="C26" s="78" t="s">
        <v>60</v>
      </c>
      <c r="D26" s="73" t="s">
        <v>61</v>
      </c>
      <c r="E26" s="74" t="n">
        <v>1931</v>
      </c>
      <c r="F26" s="75" t="n">
        <v>0</v>
      </c>
      <c r="G26" s="75" t="n">
        <v>0</v>
      </c>
      <c r="H26" s="76" t="n">
        <v>0</v>
      </c>
      <c r="I26" s="79" t="s">
        <v>114</v>
      </c>
      <c r="J26" s="80" t="s">
        <v>114</v>
      </c>
      <c r="K26" s="5"/>
    </row>
    <row r="27" customFormat="false" ht="15.75" hidden="false" customHeight="true" outlineLevel="0" collapsed="false">
      <c r="A27" s="5"/>
      <c r="B27" s="54" t="n">
        <v>46204.7729282755</v>
      </c>
      <c r="C27" s="67" t="s">
        <v>63</v>
      </c>
      <c r="D27" s="34" t="s">
        <v>64</v>
      </c>
      <c r="E27" s="56" t="n">
        <v>4989</v>
      </c>
      <c r="F27" s="57" t="n">
        <v>2235</v>
      </c>
      <c r="G27" s="57" t="n">
        <v>1206</v>
      </c>
      <c r="H27" s="58" t="n">
        <v>0</v>
      </c>
      <c r="I27" s="35" t="s">
        <v>114</v>
      </c>
      <c r="J27" s="68" t="s">
        <v>114</v>
      </c>
      <c r="K27" s="5"/>
    </row>
    <row r="28" customFormat="false" ht="15.75" hidden="false" customHeight="true" outlineLevel="0" collapsed="false">
      <c r="A28" s="5"/>
      <c r="B28" s="59" t="n">
        <v>46204.7960764236</v>
      </c>
      <c r="C28" s="60" t="s">
        <v>52</v>
      </c>
      <c r="D28" s="38" t="s">
        <v>66</v>
      </c>
      <c r="E28" s="61" t="n">
        <v>14839</v>
      </c>
      <c r="F28" s="62" t="n">
        <v>2325</v>
      </c>
      <c r="G28" s="62" t="n">
        <v>518</v>
      </c>
      <c r="H28" s="63" t="n">
        <v>6</v>
      </c>
      <c r="I28" s="40" t="n">
        <v>3</v>
      </c>
      <c r="J28" s="63" t="n">
        <v>0</v>
      </c>
      <c r="K28" s="5"/>
    </row>
    <row r="29" customFormat="false" ht="15.75" hidden="false" customHeight="true" outlineLevel="0" collapsed="false">
      <c r="A29" s="5"/>
      <c r="B29" s="54" t="n">
        <v>46204.8192245718</v>
      </c>
      <c r="C29" s="69" t="s">
        <v>60</v>
      </c>
      <c r="D29" s="34" t="s">
        <v>68</v>
      </c>
      <c r="E29" s="56" t="n">
        <v>1066</v>
      </c>
      <c r="F29" s="57" t="n">
        <v>442</v>
      </c>
      <c r="G29" s="57" t="n">
        <v>259</v>
      </c>
      <c r="H29" s="58" t="n">
        <v>0</v>
      </c>
      <c r="I29" s="35" t="s">
        <v>114</v>
      </c>
      <c r="J29" s="68" t="s">
        <v>114</v>
      </c>
      <c r="K29" s="5"/>
    </row>
    <row r="30" customFormat="false" ht="15.75" hidden="false" customHeight="true" outlineLevel="0" collapsed="false">
      <c r="A30" s="5"/>
      <c r="B30" s="59" t="n">
        <v>46204.8423727199</v>
      </c>
      <c r="C30" s="60" t="s">
        <v>52</v>
      </c>
      <c r="D30" s="38" t="s">
        <v>70</v>
      </c>
      <c r="E30" s="61" t="n">
        <v>9209</v>
      </c>
      <c r="F30" s="62" t="n">
        <v>4191</v>
      </c>
      <c r="G30" s="62" t="n">
        <v>503</v>
      </c>
      <c r="H30" s="63" t="n">
        <v>4</v>
      </c>
      <c r="I30" s="40" t="n">
        <v>0</v>
      </c>
      <c r="J30" s="63" t="n">
        <v>0</v>
      </c>
      <c r="K30" s="5"/>
    </row>
    <row r="31" customFormat="false" ht="15.75" hidden="false" customHeight="true" outlineLevel="0" collapsed="false">
      <c r="A31" s="5"/>
      <c r="B31" s="54" t="n">
        <v>46204.8655208681</v>
      </c>
      <c r="C31" s="55" t="s">
        <v>52</v>
      </c>
      <c r="D31" s="34" t="s">
        <v>53</v>
      </c>
      <c r="E31" s="56" t="n">
        <v>10303</v>
      </c>
      <c r="F31" s="57" t="n">
        <v>5172</v>
      </c>
      <c r="G31" s="57" t="n">
        <v>1572</v>
      </c>
      <c r="H31" s="58" t="n">
        <v>6</v>
      </c>
      <c r="I31" s="36" t="n">
        <v>3</v>
      </c>
      <c r="J31" s="70" t="n">
        <v>2</v>
      </c>
      <c r="K31" s="5"/>
    </row>
    <row r="32" customFormat="false" ht="15.75" hidden="false" customHeight="true" outlineLevel="0" collapsed="false">
      <c r="A32" s="5"/>
      <c r="B32" s="59" t="n">
        <v>46204.8886690162</v>
      </c>
      <c r="C32" s="60" t="s">
        <v>52</v>
      </c>
      <c r="D32" s="38" t="s">
        <v>56</v>
      </c>
      <c r="E32" s="61" t="n">
        <v>18177</v>
      </c>
      <c r="F32" s="62" t="n">
        <v>7091</v>
      </c>
      <c r="G32" s="62" t="n">
        <v>1750</v>
      </c>
      <c r="H32" s="63" t="n">
        <v>3</v>
      </c>
      <c r="I32" s="40" t="n">
        <v>1</v>
      </c>
      <c r="J32" s="63" t="n">
        <v>0</v>
      </c>
      <c r="K32" s="5"/>
    </row>
    <row r="33" customFormat="false" ht="15.75" hidden="false" customHeight="true" outlineLevel="0" collapsed="false">
      <c r="A33" s="5"/>
      <c r="B33" s="54" t="n">
        <v>46204.9118171644</v>
      </c>
      <c r="C33" s="55" t="s">
        <v>52</v>
      </c>
      <c r="D33" s="34" t="s">
        <v>58</v>
      </c>
      <c r="E33" s="56" t="n">
        <v>27769</v>
      </c>
      <c r="F33" s="57" t="n">
        <v>2825</v>
      </c>
      <c r="G33" s="57" t="n">
        <v>1796</v>
      </c>
      <c r="H33" s="58" t="n">
        <v>6</v>
      </c>
      <c r="I33" s="36" t="n">
        <v>4</v>
      </c>
      <c r="J33" s="58" t="n">
        <v>0</v>
      </c>
      <c r="K33" s="5"/>
    </row>
    <row r="34" customFormat="false" ht="15.75" hidden="false" customHeight="true" outlineLevel="0" collapsed="false">
      <c r="A34" s="5"/>
      <c r="B34" s="59" t="n">
        <v>46204.9349653125</v>
      </c>
      <c r="C34" s="65" t="s">
        <v>60</v>
      </c>
      <c r="D34" s="38" t="s">
        <v>61</v>
      </c>
      <c r="E34" s="61" t="n">
        <v>1382</v>
      </c>
      <c r="F34" s="62" t="n">
        <v>751</v>
      </c>
      <c r="G34" s="62" t="n">
        <v>151</v>
      </c>
      <c r="H34" s="63" t="n">
        <v>0</v>
      </c>
      <c r="I34" s="39" t="s">
        <v>114</v>
      </c>
      <c r="J34" s="66" t="s">
        <v>114</v>
      </c>
      <c r="K34" s="5"/>
    </row>
    <row r="35" customFormat="false" ht="15.75" hidden="false" customHeight="true" outlineLevel="0" collapsed="false">
      <c r="A35" s="5"/>
      <c r="B35" s="54" t="n">
        <v>46204.9581134607</v>
      </c>
      <c r="C35" s="67" t="s">
        <v>63</v>
      </c>
      <c r="D35" s="34" t="s">
        <v>64</v>
      </c>
      <c r="E35" s="56" t="n">
        <v>4052</v>
      </c>
      <c r="F35" s="57" t="n">
        <v>7322</v>
      </c>
      <c r="G35" s="57" t="n">
        <v>734</v>
      </c>
      <c r="H35" s="58" t="n">
        <v>0</v>
      </c>
      <c r="I35" s="35" t="s">
        <v>114</v>
      </c>
      <c r="J35" s="68" t="s">
        <v>114</v>
      </c>
      <c r="K35" s="5"/>
    </row>
    <row r="36" customFormat="false" ht="15.75" hidden="false" customHeight="true" outlineLevel="0" collapsed="false">
      <c r="A36" s="5"/>
      <c r="B36" s="59" t="n">
        <v>46204.9812616088</v>
      </c>
      <c r="C36" s="60" t="s">
        <v>52</v>
      </c>
      <c r="D36" s="38" t="s">
        <v>66</v>
      </c>
      <c r="E36" s="61" t="n">
        <v>14484</v>
      </c>
      <c r="F36" s="62" t="n">
        <v>5437</v>
      </c>
      <c r="G36" s="62" t="n">
        <v>730</v>
      </c>
      <c r="H36" s="63" t="n">
        <v>5</v>
      </c>
      <c r="I36" s="40" t="n">
        <v>5</v>
      </c>
      <c r="J36" s="64" t="n">
        <v>2</v>
      </c>
      <c r="K36" s="5"/>
    </row>
    <row r="37" customFormat="false" ht="15.75" hidden="false" customHeight="true" outlineLevel="0" collapsed="false">
      <c r="A37" s="5"/>
      <c r="B37" s="54" t="n">
        <v>46205.004409757</v>
      </c>
      <c r="C37" s="69" t="s">
        <v>60</v>
      </c>
      <c r="D37" s="34" t="s">
        <v>68</v>
      </c>
      <c r="E37" s="56" t="n">
        <v>1557</v>
      </c>
      <c r="F37" s="57" t="n">
        <v>665</v>
      </c>
      <c r="G37" s="57" t="n">
        <v>375</v>
      </c>
      <c r="H37" s="58" t="n">
        <v>0</v>
      </c>
      <c r="I37" s="35" t="s">
        <v>114</v>
      </c>
      <c r="J37" s="68" t="s">
        <v>114</v>
      </c>
      <c r="K37" s="5"/>
    </row>
    <row r="38" customFormat="false" ht="15.75" hidden="false" customHeight="true" outlineLevel="0" collapsed="false">
      <c r="A38" s="5"/>
      <c r="B38" s="59" t="n">
        <v>46205.0275579051</v>
      </c>
      <c r="C38" s="60" t="s">
        <v>52</v>
      </c>
      <c r="D38" s="38" t="s">
        <v>70</v>
      </c>
      <c r="E38" s="61" t="n">
        <v>13117</v>
      </c>
      <c r="F38" s="62" t="n">
        <v>7624</v>
      </c>
      <c r="G38" s="62" t="n">
        <v>813</v>
      </c>
      <c r="H38" s="63" t="n">
        <v>4</v>
      </c>
      <c r="I38" s="40" t="n">
        <v>6</v>
      </c>
      <c r="J38" s="64" t="n">
        <v>6</v>
      </c>
      <c r="K38" s="5"/>
    </row>
    <row r="39" customFormat="false" ht="15.75" hidden="false" customHeight="true" outlineLevel="0" collapsed="false">
      <c r="A39" s="5"/>
      <c r="B39" s="71" t="n">
        <v>46205.0507060532</v>
      </c>
      <c r="C39" s="72" t="s">
        <v>52</v>
      </c>
      <c r="D39" s="73" t="s">
        <v>53</v>
      </c>
      <c r="E39" s="74" t="n">
        <v>13568</v>
      </c>
      <c r="F39" s="75" t="n">
        <v>0</v>
      </c>
      <c r="G39" s="75" t="n">
        <v>0</v>
      </c>
      <c r="H39" s="76" t="n">
        <v>6</v>
      </c>
      <c r="I39" s="77" t="n">
        <v>0</v>
      </c>
      <c r="J39" s="76" t="n">
        <v>0</v>
      </c>
      <c r="K39" s="5"/>
    </row>
    <row r="40" customFormat="false" ht="15.75" hidden="false" customHeight="true" outlineLevel="0" collapsed="false">
      <c r="A40" s="5"/>
      <c r="B40" s="59" t="n">
        <v>46205.0738542014</v>
      </c>
      <c r="C40" s="60" t="s">
        <v>52</v>
      </c>
      <c r="D40" s="38" t="s">
        <v>56</v>
      </c>
      <c r="E40" s="61" t="n">
        <v>23989</v>
      </c>
      <c r="F40" s="62" t="n">
        <v>6369</v>
      </c>
      <c r="G40" s="62" t="n">
        <v>724</v>
      </c>
      <c r="H40" s="63" t="n">
        <v>5</v>
      </c>
      <c r="I40" s="40" t="n">
        <v>5</v>
      </c>
      <c r="J40" s="64" t="n">
        <v>1</v>
      </c>
      <c r="K40" s="5"/>
    </row>
    <row r="41" customFormat="false" ht="15.75" hidden="false" customHeight="true" outlineLevel="0" collapsed="false">
      <c r="A41" s="5"/>
      <c r="B41" s="54" t="n">
        <v>46205.0970023495</v>
      </c>
      <c r="C41" s="55" t="s">
        <v>52</v>
      </c>
      <c r="D41" s="34" t="s">
        <v>58</v>
      </c>
      <c r="E41" s="56" t="n">
        <v>14341</v>
      </c>
      <c r="F41" s="57" t="n">
        <v>5986</v>
      </c>
      <c r="G41" s="57" t="n">
        <v>1584</v>
      </c>
      <c r="H41" s="58" t="n">
        <v>5</v>
      </c>
      <c r="I41" s="36" t="n">
        <v>4</v>
      </c>
      <c r="J41" s="70" t="n">
        <v>4</v>
      </c>
      <c r="K41" s="5"/>
    </row>
    <row r="42" customFormat="false" ht="15.75" hidden="false" customHeight="true" outlineLevel="0" collapsed="false">
      <c r="A42" s="5"/>
      <c r="B42" s="59" t="n">
        <v>46205.1201504977</v>
      </c>
      <c r="C42" s="65" t="s">
        <v>60</v>
      </c>
      <c r="D42" s="38" t="s">
        <v>61</v>
      </c>
      <c r="E42" s="61" t="n">
        <v>2193</v>
      </c>
      <c r="F42" s="62" t="n">
        <v>606</v>
      </c>
      <c r="G42" s="62" t="n">
        <v>159</v>
      </c>
      <c r="H42" s="63" t="n">
        <v>0</v>
      </c>
      <c r="I42" s="39" t="s">
        <v>114</v>
      </c>
      <c r="J42" s="66" t="s">
        <v>114</v>
      </c>
      <c r="K42" s="5"/>
    </row>
    <row r="43" customFormat="false" ht="15.75" hidden="false" customHeight="true" outlineLevel="0" collapsed="false">
      <c r="A43" s="5"/>
      <c r="B43" s="54" t="n">
        <v>46205.1432986458</v>
      </c>
      <c r="C43" s="67" t="s">
        <v>63</v>
      </c>
      <c r="D43" s="34" t="s">
        <v>64</v>
      </c>
      <c r="E43" s="56" t="n">
        <v>2213</v>
      </c>
      <c r="F43" s="57" t="n">
        <v>3051</v>
      </c>
      <c r="G43" s="57" t="n">
        <v>1530</v>
      </c>
      <c r="H43" s="58" t="n">
        <v>0</v>
      </c>
      <c r="I43" s="35" t="s">
        <v>114</v>
      </c>
      <c r="J43" s="68" t="s">
        <v>114</v>
      </c>
      <c r="K43" s="5"/>
    </row>
    <row r="44" customFormat="false" ht="15.75" hidden="false" customHeight="true" outlineLevel="0" collapsed="false">
      <c r="A44" s="5"/>
      <c r="B44" s="59" t="n">
        <v>46205.166446794</v>
      </c>
      <c r="C44" s="60" t="s">
        <v>52</v>
      </c>
      <c r="D44" s="38" t="s">
        <v>66</v>
      </c>
      <c r="E44" s="61" t="n">
        <v>20756</v>
      </c>
      <c r="F44" s="62" t="n">
        <v>7694</v>
      </c>
      <c r="G44" s="62" t="n">
        <v>1782</v>
      </c>
      <c r="H44" s="63" t="n">
        <v>3</v>
      </c>
      <c r="I44" s="40" t="n">
        <v>3</v>
      </c>
      <c r="J44" s="64" t="n">
        <v>2</v>
      </c>
      <c r="K44" s="5"/>
    </row>
    <row r="45" customFormat="false" ht="15.75" hidden="false" customHeight="true" outlineLevel="0" collapsed="false">
      <c r="A45" s="5"/>
      <c r="B45" s="54" t="n">
        <v>46205.1895949421</v>
      </c>
      <c r="C45" s="69" t="s">
        <v>60</v>
      </c>
      <c r="D45" s="34" t="s">
        <v>68</v>
      </c>
      <c r="E45" s="56" t="n">
        <v>1536</v>
      </c>
      <c r="F45" s="57" t="n">
        <v>443</v>
      </c>
      <c r="G45" s="57" t="n">
        <v>216</v>
      </c>
      <c r="H45" s="58" t="n">
        <v>0</v>
      </c>
      <c r="I45" s="35" t="s">
        <v>114</v>
      </c>
      <c r="J45" s="68" t="s">
        <v>114</v>
      </c>
      <c r="K45" s="5"/>
    </row>
    <row r="46" customFormat="false" ht="15.75" hidden="false" customHeight="true" outlineLevel="0" collapsed="false">
      <c r="A46" s="5"/>
      <c r="B46" s="59" t="n">
        <v>46205.2127430903</v>
      </c>
      <c r="C46" s="60" t="s">
        <v>52</v>
      </c>
      <c r="D46" s="38" t="s">
        <v>70</v>
      </c>
      <c r="E46" s="61" t="n">
        <v>22892</v>
      </c>
      <c r="F46" s="62" t="n">
        <v>5418</v>
      </c>
      <c r="G46" s="62" t="n">
        <v>1139</v>
      </c>
      <c r="H46" s="63" t="n">
        <v>6</v>
      </c>
      <c r="I46" s="40" t="n">
        <v>1</v>
      </c>
      <c r="J46" s="64" t="n">
        <v>1</v>
      </c>
      <c r="K46" s="5"/>
    </row>
    <row r="47" customFormat="false" ht="15" hidden="false" customHeight="false" outlineLevel="0" collapsed="false">
      <c r="A47" s="5"/>
      <c r="K47" s="5"/>
    </row>
    <row r="48" customFormat="false" ht="15" hidden="false" customHeight="false" outlineLevel="0" collapsed="false">
      <c r="A48" s="5"/>
      <c r="K48" s="5"/>
    </row>
    <row r="49" customFormat="false" ht="15" hidden="false" customHeight="false" outlineLevel="0" collapsed="false">
      <c r="A49" s="5"/>
      <c r="K49" s="5"/>
    </row>
    <row r="50" customFormat="false" ht="15" hidden="false" customHeight="false" outlineLevel="0" collapsed="false">
      <c r="A50" s="5"/>
      <c r="K50" s="5"/>
    </row>
    <row r="51" customFormat="false" ht="15" hidden="false" customHeight="false" outlineLevel="0" collapsed="false">
      <c r="A51" s="5"/>
      <c r="K51" s="5"/>
    </row>
    <row r="52" customFormat="false" ht="15" hidden="false" customHeight="false" outlineLevel="0" collapsed="false">
      <c r="A52" s="5"/>
      <c r="K52" s="5"/>
    </row>
    <row r="53" customFormat="false" ht="15" hidden="false" customHeight="false" outlineLevel="0" collapsed="false">
      <c r="A53" s="5"/>
      <c r="K53" s="5"/>
    </row>
    <row r="54" customFormat="false" ht="15" hidden="false" customHeight="false" outlineLevel="0" collapsed="false">
      <c r="A54" s="5"/>
      <c r="K54" s="5"/>
    </row>
    <row r="55" customFormat="false" ht="15" hidden="false" customHeight="false" outlineLevel="0" collapsed="false">
      <c r="A55" s="5"/>
      <c r="K55" s="5"/>
    </row>
    <row r="56" customFormat="false" ht="15" hidden="false" customHeight="false" outlineLevel="0" collapsed="false">
      <c r="A56" s="5"/>
      <c r="K56" s="5"/>
    </row>
    <row r="57" customFormat="false" ht="15" hidden="false" customHeight="false" outlineLevel="0" collapsed="false">
      <c r="A57" s="5"/>
      <c r="K57" s="5"/>
    </row>
    <row r="58" customFormat="false" ht="15" hidden="false" customHeight="false" outlineLevel="0" collapsed="false">
      <c r="A58" s="5"/>
      <c r="K58" s="5"/>
    </row>
    <row r="59" customFormat="false" ht="15" hidden="false" customHeight="false" outlineLevel="0" collapsed="false">
      <c r="A59" s="5"/>
      <c r="K59" s="5"/>
    </row>
    <row r="60" customFormat="false" ht="15" hidden="false" customHeight="false" outlineLevel="0" collapsed="false">
      <c r="A60" s="5"/>
      <c r="K60" s="5"/>
    </row>
    <row r="61" customFormat="false" ht="15" hidden="false" customHeight="false" outlineLevel="0" collapsed="false">
      <c r="A61" s="5"/>
      <c r="K61" s="5"/>
    </row>
    <row r="62" customFormat="false" ht="15" hidden="false" customHeight="false" outlineLevel="0" collapsed="false">
      <c r="A62" s="5"/>
      <c r="K62" s="5"/>
    </row>
    <row r="63" customFormat="false" ht="15" hidden="false" customHeight="false" outlineLevel="0" collapsed="false">
      <c r="A63" s="5"/>
      <c r="K63" s="5"/>
    </row>
    <row r="64" customFormat="false" ht="15" hidden="false" customHeight="false" outlineLevel="0" collapsed="false">
      <c r="A64" s="5"/>
      <c r="K64" s="5"/>
    </row>
    <row r="65" customFormat="false" ht="15" hidden="false" customHeight="false" outlineLevel="0" collapsed="false">
      <c r="A65" s="5"/>
      <c r="K65" s="5"/>
    </row>
    <row r="66" customFormat="false" ht="15" hidden="false" customHeight="false" outlineLevel="0" collapsed="false">
      <c r="A66" s="5"/>
      <c r="K66" s="5"/>
    </row>
    <row r="67" customFormat="false" ht="15" hidden="false" customHeight="false" outlineLevel="0" collapsed="false">
      <c r="A67" s="5"/>
      <c r="K67" s="5"/>
    </row>
    <row r="68" customFormat="false" ht="15" hidden="false" customHeight="false" outlineLevel="0" collapsed="false">
      <c r="A68" s="5"/>
      <c r="K68" s="5"/>
    </row>
    <row r="69" customFormat="false" ht="15" hidden="false" customHeight="false" outlineLevel="0" collapsed="false">
      <c r="A69" s="5"/>
      <c r="K69" s="5"/>
    </row>
    <row r="70" customFormat="false" ht="15" hidden="false" customHeight="false" outlineLevel="0" collapsed="false">
      <c r="A70" s="5"/>
      <c r="K70" s="5"/>
    </row>
    <row r="71" customFormat="false" ht="15" hidden="false" customHeight="false" outlineLevel="0" collapsed="false">
      <c r="A71" s="5"/>
      <c r="K71" s="5"/>
    </row>
    <row r="72" customFormat="false" ht="15" hidden="false" customHeight="false" outlineLevel="0" collapsed="false">
      <c r="A72" s="5"/>
      <c r="K72" s="5"/>
    </row>
    <row r="73" customFormat="false" ht="15" hidden="false" customHeight="false" outlineLevel="0" collapsed="false">
      <c r="A73" s="5"/>
      <c r="K73" s="5"/>
    </row>
    <row r="74" customFormat="false" ht="15" hidden="false" customHeight="false" outlineLevel="0" collapsed="false">
      <c r="A74" s="5"/>
      <c r="K74" s="5"/>
    </row>
    <row r="75" customFormat="false" ht="15" hidden="false" customHeight="false" outlineLevel="0" collapsed="false">
      <c r="A75" s="5"/>
      <c r="K75" s="5"/>
    </row>
    <row r="76" customFormat="false" ht="15" hidden="false" customHeight="false" outlineLevel="0" collapsed="false">
      <c r="A76" s="5"/>
      <c r="K76" s="5"/>
    </row>
    <row r="77" customFormat="false" ht="15" hidden="false" customHeight="false" outlineLevel="0" collapsed="false">
      <c r="A77" s="5"/>
      <c r="K77" s="5"/>
    </row>
    <row r="78" customFormat="false" ht="15" hidden="false" customHeight="false" outlineLevel="0" collapsed="false">
      <c r="A78" s="5"/>
      <c r="K78" s="5"/>
    </row>
    <row r="79" customFormat="false" ht="15" hidden="false" customHeight="false" outlineLevel="0" collapsed="false">
      <c r="A79" s="5"/>
      <c r="K79" s="5"/>
    </row>
    <row r="80" customFormat="false" ht="15" hidden="false" customHeight="false" outlineLevel="0" collapsed="false">
      <c r="A80" s="5"/>
      <c r="K80" s="5"/>
    </row>
    <row r="81" customFormat="false" ht="15" hidden="false" customHeight="false" outlineLevel="0" collapsed="false">
      <c r="A81" s="5"/>
      <c r="K81" s="5"/>
    </row>
    <row r="82" customFormat="false" ht="15" hidden="false" customHeight="false" outlineLevel="0" collapsed="false">
      <c r="A82" s="5"/>
      <c r="K82" s="5"/>
    </row>
    <row r="83" customFormat="false" ht="15" hidden="false" customHeight="false" outlineLevel="0" collapsed="false">
      <c r="A83" s="5"/>
      <c r="K83" s="5"/>
    </row>
    <row r="84" customFormat="false" ht="15" hidden="false" customHeight="false" outlineLevel="0" collapsed="false">
      <c r="A84" s="5"/>
      <c r="K84" s="5"/>
    </row>
    <row r="85" customFormat="false" ht="15" hidden="false" customHeight="false" outlineLevel="0" collapsed="false">
      <c r="A85" s="5"/>
      <c r="K85" s="5"/>
    </row>
    <row r="86" customFormat="false" ht="15" hidden="false" customHeight="false" outlineLevel="0" collapsed="false">
      <c r="A86" s="5"/>
      <c r="K86" s="5"/>
    </row>
    <row r="87" customFormat="false" ht="15" hidden="false" customHeight="false" outlineLevel="0" collapsed="false">
      <c r="A87" s="5"/>
      <c r="K87" s="5"/>
    </row>
    <row r="88" customFormat="false" ht="15" hidden="false" customHeight="false" outlineLevel="0" collapsed="false">
      <c r="A88" s="5"/>
      <c r="K88" s="5"/>
    </row>
    <row r="89" customFormat="false" ht="15" hidden="false" customHeight="false" outlineLevel="0" collapsed="false">
      <c r="A89" s="5"/>
      <c r="K89" s="5"/>
    </row>
    <row r="90" customFormat="false" ht="15" hidden="false" customHeight="false" outlineLevel="0" collapsed="false">
      <c r="A90" s="5"/>
      <c r="K90" s="5"/>
    </row>
    <row r="91" customFormat="false" ht="15" hidden="false" customHeight="false" outlineLevel="0" collapsed="false">
      <c r="A91" s="5"/>
      <c r="K91" s="5"/>
    </row>
    <row r="92" customFormat="false" ht="15" hidden="false" customHeight="false" outlineLevel="0" collapsed="false">
      <c r="A92" s="5"/>
      <c r="K92" s="5"/>
    </row>
    <row r="93" customFormat="false" ht="15" hidden="false" customHeight="false" outlineLevel="0" collapsed="false">
      <c r="A93" s="5"/>
      <c r="K93" s="5"/>
    </row>
    <row r="94" customFormat="false" ht="15" hidden="false" customHeight="false" outlineLevel="0" collapsed="false">
      <c r="A94" s="5"/>
      <c r="K94" s="5"/>
    </row>
    <row r="95" customFormat="false" ht="15" hidden="false" customHeight="false" outlineLevel="0" collapsed="false">
      <c r="A95" s="5"/>
      <c r="K95" s="5"/>
    </row>
    <row r="96" customFormat="false" ht="15" hidden="false" customHeight="false" outlineLevel="0" collapsed="false">
      <c r="A96" s="5"/>
      <c r="K96" s="5"/>
    </row>
    <row r="97" customFormat="false" ht="15" hidden="false" customHeight="false" outlineLevel="0" collapsed="false">
      <c r="A97" s="5"/>
      <c r="K97" s="5"/>
    </row>
    <row r="98" customFormat="false" ht="15" hidden="false" customHeight="false" outlineLevel="0" collapsed="false">
      <c r="A98" s="5"/>
      <c r="K98" s="5"/>
    </row>
    <row r="99" customFormat="false" ht="15" hidden="false" customHeight="false" outlineLevel="0" collapsed="false">
      <c r="A99" s="5"/>
      <c r="K99" s="5"/>
    </row>
  </sheetData>
  <autoFilter ref="B6:J46"/>
  <mergeCells count="3">
    <mergeCell ref="A2:K2"/>
    <mergeCell ref="A3:K3"/>
    <mergeCell ref="B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5040"/>
    <pageSetUpPr fitToPage="false"/>
  </sheetPr>
  <dimension ref="A1:F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35"/>
    <col collapsed="false" customWidth="true" hidden="false" outlineLevel="0" max="6" min="6" style="0" width="2"/>
  </cols>
  <sheetData>
    <row r="1" customFormat="false" ht="15" hidden="false" customHeight="false" outlineLevel="0" collapsed="false">
      <c r="A1" s="5"/>
      <c r="F1" s="5"/>
    </row>
    <row r="2" customFormat="false" ht="37.5" hidden="false" customHeight="true" outlineLevel="0" collapsed="false">
      <c r="A2" s="26" t="s">
        <v>115</v>
      </c>
      <c r="B2" s="26"/>
      <c r="C2" s="26"/>
      <c r="D2" s="26"/>
      <c r="E2" s="26"/>
      <c r="F2" s="26"/>
    </row>
    <row r="3" customFormat="false" ht="3.75" hidden="false" customHeight="true" outlineLevel="0" collapsed="false">
      <c r="A3" s="13"/>
      <c r="B3" s="13"/>
      <c r="C3" s="13"/>
      <c r="D3" s="13"/>
      <c r="E3" s="13"/>
      <c r="F3" s="13"/>
    </row>
    <row r="4" customFormat="false" ht="15" hidden="false" customHeight="false" outlineLevel="0" collapsed="false">
      <c r="A4" s="5"/>
      <c r="F4" s="5"/>
    </row>
    <row r="5" customFormat="false" ht="15" hidden="false" customHeight="false" outlineLevel="0" collapsed="false">
      <c r="A5" s="5"/>
      <c r="B5" s="15" t="s">
        <v>116</v>
      </c>
      <c r="C5" s="15"/>
      <c r="D5" s="15"/>
      <c r="E5" s="15"/>
      <c r="F5" s="5"/>
    </row>
    <row r="6" customFormat="false" ht="15" hidden="false" customHeight="false" outlineLevel="0" collapsed="false">
      <c r="A6" s="5"/>
      <c r="B6" s="27" t="s">
        <v>117</v>
      </c>
      <c r="C6" s="27" t="s">
        <v>118</v>
      </c>
      <c r="D6" s="27" t="s">
        <v>26</v>
      </c>
      <c r="E6" s="27" t="s">
        <v>119</v>
      </c>
      <c r="F6" s="5"/>
    </row>
    <row r="7" customFormat="false" ht="15" hidden="false" customHeight="false" outlineLevel="0" collapsed="false">
      <c r="A7" s="5"/>
      <c r="B7" s="28" t="s">
        <v>120</v>
      </c>
      <c r="C7" s="81" t="n">
        <v>2</v>
      </c>
      <c r="D7" s="82" t="n">
        <v>0.05</v>
      </c>
      <c r="E7" s="83" t="s">
        <v>121</v>
      </c>
      <c r="F7" s="5"/>
    </row>
    <row r="8" customFormat="false" ht="15" hidden="false" customHeight="false" outlineLevel="0" collapsed="false">
      <c r="A8" s="5"/>
      <c r="B8" s="28" t="s">
        <v>122</v>
      </c>
      <c r="C8" s="81" t="n">
        <v>1</v>
      </c>
      <c r="D8" s="82" t="n">
        <v>0.025</v>
      </c>
      <c r="E8" s="83" t="s">
        <v>123</v>
      </c>
      <c r="F8" s="5"/>
    </row>
    <row r="9" customFormat="false" ht="15" hidden="false" customHeight="false" outlineLevel="0" collapsed="false">
      <c r="A9" s="5"/>
      <c r="F9" s="5"/>
    </row>
    <row r="10" customFormat="false" ht="15" hidden="false" customHeight="false" outlineLevel="0" collapsed="false">
      <c r="A10" s="5"/>
      <c r="F10" s="5"/>
    </row>
    <row r="11" customFormat="false" ht="15" hidden="false" customHeight="false" outlineLevel="0" collapsed="false">
      <c r="A11" s="5"/>
      <c r="B11" s="15" t="s">
        <v>124</v>
      </c>
      <c r="C11" s="15"/>
      <c r="D11" s="15"/>
      <c r="E11" s="15"/>
      <c r="F11" s="5"/>
    </row>
    <row r="12" customFormat="false" ht="15" hidden="false" customHeight="false" outlineLevel="0" collapsed="false">
      <c r="A12" s="5"/>
      <c r="B12" s="27" t="s">
        <v>111</v>
      </c>
      <c r="C12" s="27" t="s">
        <v>35</v>
      </c>
      <c r="D12" s="27" t="s">
        <v>48</v>
      </c>
      <c r="E12" s="27" t="s">
        <v>117</v>
      </c>
      <c r="F12" s="5"/>
    </row>
    <row r="13" customFormat="false" ht="15" hidden="false" customHeight="false" outlineLevel="0" collapsed="false">
      <c r="A13" s="5"/>
      <c r="B13" s="73" t="s">
        <v>125</v>
      </c>
      <c r="C13" s="79" t="s">
        <v>52</v>
      </c>
      <c r="D13" s="73" t="s">
        <v>58</v>
      </c>
      <c r="E13" s="84" t="s">
        <v>122</v>
      </c>
      <c r="F13" s="5"/>
    </row>
    <row r="14" customFormat="false" ht="15" hidden="false" customHeight="false" outlineLevel="0" collapsed="false">
      <c r="A14" s="5"/>
      <c r="B14" s="73" t="s">
        <v>126</v>
      </c>
      <c r="C14" s="79" t="s">
        <v>60</v>
      </c>
      <c r="D14" s="73" t="s">
        <v>61</v>
      </c>
      <c r="E14" s="84" t="s">
        <v>120</v>
      </c>
      <c r="F14" s="5"/>
    </row>
    <row r="15" customFormat="false" ht="15" hidden="false" customHeight="false" outlineLevel="0" collapsed="false">
      <c r="A15" s="5"/>
      <c r="B15" s="73" t="s">
        <v>127</v>
      </c>
      <c r="C15" s="79" t="s">
        <v>52</v>
      </c>
      <c r="D15" s="73" t="s">
        <v>53</v>
      </c>
      <c r="E15" s="84" t="s">
        <v>120</v>
      </c>
      <c r="F15" s="5"/>
    </row>
    <row r="16" customFormat="false" ht="15" hidden="false" customHeight="false" outlineLevel="0" collapsed="false">
      <c r="A16" s="5"/>
      <c r="F16" s="5"/>
    </row>
    <row r="17" customFormat="false" ht="15" hidden="false" customHeight="false" outlineLevel="0" collapsed="false">
      <c r="A17" s="5"/>
      <c r="F17" s="5"/>
    </row>
    <row r="18" customFormat="false" ht="15" hidden="false" customHeight="false" outlineLevel="0" collapsed="false">
      <c r="A18" s="5"/>
      <c r="F18" s="5"/>
    </row>
    <row r="19" customFormat="false" ht="15" hidden="false" customHeight="false" outlineLevel="0" collapsed="false">
      <c r="A19" s="5"/>
      <c r="F19" s="5"/>
    </row>
    <row r="20" customFormat="false" ht="15" hidden="false" customHeight="false" outlineLevel="0" collapsed="false">
      <c r="A20" s="5"/>
      <c r="F20" s="5"/>
    </row>
    <row r="21" customFormat="false" ht="15" hidden="false" customHeight="false" outlineLevel="0" collapsed="false">
      <c r="A21" s="5"/>
      <c r="F21" s="5"/>
    </row>
    <row r="22" customFormat="false" ht="15" hidden="false" customHeight="false" outlineLevel="0" collapsed="false">
      <c r="A22" s="5"/>
      <c r="F22" s="5"/>
    </row>
    <row r="23" customFormat="false" ht="15" hidden="false" customHeight="false" outlineLevel="0" collapsed="false">
      <c r="A23" s="5"/>
      <c r="F23" s="5"/>
    </row>
    <row r="24" customFormat="false" ht="15" hidden="false" customHeight="false" outlineLevel="0" collapsed="false">
      <c r="A24" s="5"/>
      <c r="F24" s="5"/>
    </row>
    <row r="25" customFormat="false" ht="15" hidden="false" customHeight="false" outlineLevel="0" collapsed="false">
      <c r="A25" s="5"/>
      <c r="F25" s="5"/>
    </row>
    <row r="26" customFormat="false" ht="15" hidden="false" customHeight="false" outlineLevel="0" collapsed="false">
      <c r="A26" s="5"/>
      <c r="F26" s="5"/>
    </row>
    <row r="27" customFormat="false" ht="15" hidden="false" customHeight="false" outlineLevel="0" collapsed="false">
      <c r="A27" s="5"/>
      <c r="F27" s="5"/>
    </row>
    <row r="28" customFormat="false" ht="15" hidden="false" customHeight="false" outlineLevel="0" collapsed="false">
      <c r="A28" s="5"/>
      <c r="F28" s="5"/>
    </row>
    <row r="29" customFormat="false" ht="15" hidden="false" customHeight="false" outlineLevel="0" collapsed="false">
      <c r="A29" s="5"/>
      <c r="F29" s="5"/>
    </row>
    <row r="30" customFormat="false" ht="15" hidden="false" customHeight="false" outlineLevel="0" collapsed="false">
      <c r="A30" s="5"/>
      <c r="F30" s="5"/>
    </row>
    <row r="31" customFormat="false" ht="15" hidden="false" customHeight="false" outlineLevel="0" collapsed="false">
      <c r="A31" s="5"/>
      <c r="B31" s="42" t="s">
        <v>117</v>
      </c>
      <c r="C31" s="42" t="s">
        <v>118</v>
      </c>
      <c r="F31" s="5"/>
    </row>
    <row r="32" customFormat="false" ht="15" hidden="false" customHeight="false" outlineLevel="0" collapsed="false">
      <c r="A32" s="5"/>
      <c r="B32" s="42" t="s">
        <v>120</v>
      </c>
      <c r="C32" s="0" t="n">
        <v>2</v>
      </c>
      <c r="F32" s="5"/>
    </row>
    <row r="33" customFormat="false" ht="15" hidden="false" customHeight="false" outlineLevel="0" collapsed="false">
      <c r="A33" s="5"/>
      <c r="B33" s="42" t="s">
        <v>122</v>
      </c>
      <c r="C33" s="0" t="n">
        <v>1</v>
      </c>
      <c r="F33" s="5"/>
    </row>
    <row r="34" customFormat="false" ht="15" hidden="false" customHeight="false" outlineLevel="0" collapsed="false">
      <c r="A34" s="5"/>
      <c r="F34" s="5"/>
    </row>
    <row r="35" customFormat="false" ht="15" hidden="false" customHeight="false" outlineLevel="0" collapsed="false">
      <c r="A35" s="5"/>
      <c r="F35" s="5"/>
    </row>
    <row r="36" customFormat="false" ht="15" hidden="false" customHeight="false" outlineLevel="0" collapsed="false">
      <c r="A36" s="5"/>
      <c r="F36" s="5"/>
    </row>
    <row r="37" customFormat="false" ht="15" hidden="false" customHeight="false" outlineLevel="0" collapsed="false">
      <c r="A37" s="5"/>
      <c r="F37" s="5"/>
    </row>
    <row r="38" customFormat="false" ht="15" hidden="false" customHeight="false" outlineLevel="0" collapsed="false">
      <c r="A38" s="5"/>
      <c r="F38" s="5"/>
    </row>
    <row r="39" customFormat="false" ht="15" hidden="false" customHeight="false" outlineLevel="0" collapsed="false">
      <c r="A39" s="5"/>
      <c r="F39" s="5"/>
    </row>
    <row r="40" customFormat="false" ht="15" hidden="false" customHeight="false" outlineLevel="0" collapsed="false">
      <c r="A40" s="5"/>
      <c r="F40" s="5"/>
    </row>
    <row r="41" customFormat="false" ht="15" hidden="false" customHeight="false" outlineLevel="0" collapsed="false">
      <c r="A41" s="5"/>
      <c r="F41" s="5"/>
    </row>
    <row r="42" customFormat="false" ht="15" hidden="false" customHeight="false" outlineLevel="0" collapsed="false">
      <c r="A42" s="5"/>
      <c r="F42" s="5"/>
    </row>
    <row r="43" customFormat="false" ht="15" hidden="false" customHeight="false" outlineLevel="0" collapsed="false">
      <c r="A43" s="5"/>
      <c r="F43" s="5"/>
    </row>
    <row r="44" customFormat="false" ht="15" hidden="false" customHeight="false" outlineLevel="0" collapsed="false">
      <c r="A44" s="5"/>
      <c r="F44" s="5"/>
    </row>
    <row r="45" customFormat="false" ht="15" hidden="false" customHeight="false" outlineLevel="0" collapsed="false">
      <c r="A45" s="5"/>
      <c r="F45" s="5"/>
    </row>
    <row r="46" customFormat="false" ht="15" hidden="false" customHeight="false" outlineLevel="0" collapsed="false">
      <c r="A46" s="5"/>
      <c r="F46" s="5"/>
    </row>
    <row r="47" customFormat="false" ht="15" hidden="false" customHeight="false" outlineLevel="0" collapsed="false">
      <c r="A47" s="5"/>
      <c r="F47" s="5"/>
    </row>
    <row r="48" customFormat="false" ht="15" hidden="false" customHeight="false" outlineLevel="0" collapsed="false">
      <c r="A48" s="5"/>
      <c r="F48" s="5"/>
    </row>
    <row r="49" customFormat="false" ht="15" hidden="false" customHeight="false" outlineLevel="0" collapsed="false">
      <c r="A49" s="5"/>
      <c r="F49" s="5"/>
    </row>
    <row r="50" customFormat="false" ht="15" hidden="false" customHeight="false" outlineLevel="0" collapsed="false">
      <c r="A50" s="5"/>
      <c r="F50" s="5"/>
    </row>
    <row r="51" customFormat="false" ht="15" hidden="false" customHeight="false" outlineLevel="0" collapsed="false">
      <c r="A51" s="5"/>
      <c r="F51" s="5"/>
    </row>
    <row r="52" customFormat="false" ht="15" hidden="false" customHeight="false" outlineLevel="0" collapsed="false">
      <c r="A52" s="5"/>
      <c r="F52" s="5"/>
    </row>
    <row r="53" customFormat="false" ht="15" hidden="false" customHeight="false" outlineLevel="0" collapsed="false">
      <c r="A53" s="5"/>
      <c r="F53" s="5"/>
    </row>
    <row r="54" customFormat="false" ht="15" hidden="false" customHeight="false" outlineLevel="0" collapsed="false">
      <c r="A54" s="5"/>
      <c r="F54" s="5"/>
    </row>
    <row r="55" customFormat="false" ht="15" hidden="false" customHeight="false" outlineLevel="0" collapsed="false">
      <c r="A55" s="5"/>
      <c r="F55" s="5"/>
    </row>
    <row r="56" customFormat="false" ht="15" hidden="false" customHeight="false" outlineLevel="0" collapsed="false">
      <c r="A56" s="5"/>
      <c r="F56" s="5"/>
    </row>
    <row r="57" customFormat="false" ht="15" hidden="false" customHeight="false" outlineLevel="0" collapsed="false">
      <c r="A57" s="5"/>
      <c r="F57" s="5"/>
    </row>
    <row r="58" customFormat="false" ht="15" hidden="false" customHeight="false" outlineLevel="0" collapsed="false">
      <c r="A58" s="5"/>
      <c r="F58" s="5"/>
    </row>
    <row r="59" customFormat="false" ht="15" hidden="false" customHeight="false" outlineLevel="0" collapsed="false">
      <c r="A59" s="5"/>
      <c r="F59" s="5"/>
    </row>
    <row r="60" customFormat="false" ht="15" hidden="false" customHeight="false" outlineLevel="0" collapsed="false">
      <c r="A60" s="5"/>
      <c r="F60" s="5"/>
    </row>
    <row r="61" customFormat="false" ht="15" hidden="false" customHeight="false" outlineLevel="0" collapsed="false">
      <c r="A61" s="5"/>
      <c r="F61" s="5"/>
    </row>
    <row r="62" customFormat="false" ht="15" hidden="false" customHeight="false" outlineLevel="0" collapsed="false">
      <c r="A62" s="5"/>
      <c r="F62" s="5"/>
    </row>
    <row r="63" customFormat="false" ht="15" hidden="false" customHeight="false" outlineLevel="0" collapsed="false">
      <c r="A63" s="5"/>
      <c r="F63" s="5"/>
    </row>
    <row r="64" customFormat="false" ht="15" hidden="false" customHeight="false" outlineLevel="0" collapsed="false">
      <c r="A64" s="5"/>
      <c r="F64" s="5"/>
    </row>
    <row r="65" customFormat="false" ht="15" hidden="false" customHeight="false" outlineLevel="0" collapsed="false">
      <c r="A65" s="5"/>
      <c r="F65" s="5"/>
    </row>
    <row r="66" customFormat="false" ht="15" hidden="false" customHeight="false" outlineLevel="0" collapsed="false">
      <c r="A66" s="5"/>
      <c r="F66" s="5"/>
    </row>
    <row r="67" customFormat="false" ht="15" hidden="false" customHeight="false" outlineLevel="0" collapsed="false">
      <c r="A67" s="5"/>
      <c r="F67" s="5"/>
    </row>
    <row r="68" customFormat="false" ht="15" hidden="false" customHeight="false" outlineLevel="0" collapsed="false">
      <c r="A68" s="5"/>
      <c r="F68" s="5"/>
    </row>
    <row r="69" customFormat="false" ht="15" hidden="false" customHeight="false" outlineLevel="0" collapsed="false">
      <c r="A69" s="5"/>
      <c r="F69" s="5"/>
    </row>
    <row r="70" customFormat="false" ht="15" hidden="false" customHeight="false" outlineLevel="0" collapsed="false">
      <c r="A70" s="5"/>
      <c r="F70" s="5"/>
    </row>
    <row r="71" customFormat="false" ht="15" hidden="false" customHeight="false" outlineLevel="0" collapsed="false">
      <c r="A71" s="5"/>
      <c r="F71" s="5"/>
    </row>
    <row r="72" customFormat="false" ht="15" hidden="false" customHeight="false" outlineLevel="0" collapsed="false">
      <c r="A72" s="5"/>
      <c r="F72" s="5"/>
    </row>
    <row r="73" customFormat="false" ht="15" hidden="false" customHeight="false" outlineLevel="0" collapsed="false">
      <c r="A73" s="5"/>
      <c r="F73" s="5"/>
    </row>
    <row r="74" customFormat="false" ht="15" hidden="false" customHeight="false" outlineLevel="0" collapsed="false">
      <c r="A74" s="5"/>
      <c r="F74" s="5"/>
    </row>
    <row r="75" customFormat="false" ht="15" hidden="false" customHeight="false" outlineLevel="0" collapsed="false">
      <c r="A75" s="5"/>
      <c r="F75" s="5"/>
    </row>
    <row r="76" customFormat="false" ht="15" hidden="false" customHeight="false" outlineLevel="0" collapsed="false">
      <c r="A76" s="5"/>
      <c r="F76" s="5"/>
    </row>
    <row r="77" customFormat="false" ht="15" hidden="false" customHeight="false" outlineLevel="0" collapsed="false">
      <c r="A77" s="5"/>
      <c r="F77" s="5"/>
    </row>
    <row r="78" customFormat="false" ht="15" hidden="false" customHeight="false" outlineLevel="0" collapsed="false">
      <c r="A78" s="5"/>
      <c r="F78" s="5"/>
    </row>
    <row r="79" customFormat="false" ht="15" hidden="false" customHeight="false" outlineLevel="0" collapsed="false">
      <c r="A79" s="5"/>
      <c r="F79" s="5"/>
    </row>
    <row r="80" customFormat="false" ht="15" hidden="false" customHeight="false" outlineLevel="0" collapsed="false">
      <c r="A80" s="5"/>
      <c r="F80" s="5"/>
    </row>
    <row r="81" customFormat="false" ht="15" hidden="false" customHeight="false" outlineLevel="0" collapsed="false">
      <c r="A81" s="5"/>
      <c r="F81" s="5"/>
    </row>
    <row r="82" customFormat="false" ht="15" hidden="false" customHeight="false" outlineLevel="0" collapsed="false">
      <c r="A82" s="5"/>
      <c r="F82" s="5"/>
    </row>
    <row r="83" customFormat="false" ht="15" hidden="false" customHeight="false" outlineLevel="0" collapsed="false">
      <c r="A83" s="5"/>
      <c r="F83" s="5"/>
    </row>
    <row r="84" customFormat="false" ht="15" hidden="false" customHeight="false" outlineLevel="0" collapsed="false">
      <c r="A84" s="5"/>
      <c r="F84" s="5"/>
    </row>
    <row r="85" customFormat="false" ht="15" hidden="false" customHeight="false" outlineLevel="0" collapsed="false">
      <c r="A85" s="5"/>
      <c r="F85" s="5"/>
    </row>
    <row r="86" customFormat="false" ht="15" hidden="false" customHeight="false" outlineLevel="0" collapsed="false">
      <c r="A86" s="5"/>
      <c r="F86" s="5"/>
    </row>
    <row r="87" customFormat="false" ht="15" hidden="false" customHeight="false" outlineLevel="0" collapsed="false">
      <c r="A87" s="5"/>
      <c r="F87" s="5"/>
    </row>
    <row r="88" customFormat="false" ht="15" hidden="false" customHeight="false" outlineLevel="0" collapsed="false">
      <c r="A88" s="5"/>
      <c r="F88" s="5"/>
    </row>
    <row r="89" customFormat="false" ht="15" hidden="false" customHeight="false" outlineLevel="0" collapsed="false">
      <c r="A89" s="5"/>
      <c r="F89" s="5"/>
    </row>
    <row r="90" customFormat="false" ht="15" hidden="false" customHeight="false" outlineLevel="0" collapsed="false">
      <c r="A90" s="5"/>
      <c r="F90" s="5"/>
    </row>
    <row r="91" customFormat="false" ht="15" hidden="false" customHeight="false" outlineLevel="0" collapsed="false">
      <c r="A91" s="5"/>
      <c r="F91" s="5"/>
    </row>
    <row r="92" customFormat="false" ht="15" hidden="false" customHeight="false" outlineLevel="0" collapsed="false">
      <c r="A92" s="5"/>
      <c r="F92" s="5"/>
    </row>
    <row r="93" customFormat="false" ht="15" hidden="false" customHeight="false" outlineLevel="0" collapsed="false">
      <c r="A93" s="5"/>
      <c r="F93" s="5"/>
    </row>
    <row r="94" customFormat="false" ht="15" hidden="false" customHeight="false" outlineLevel="0" collapsed="false">
      <c r="A94" s="5"/>
      <c r="F94" s="5"/>
    </row>
    <row r="95" customFormat="false" ht="15" hidden="false" customHeight="false" outlineLevel="0" collapsed="false">
      <c r="A95" s="5"/>
      <c r="F95" s="5"/>
    </row>
    <row r="96" customFormat="false" ht="15" hidden="false" customHeight="false" outlineLevel="0" collapsed="false">
      <c r="A96" s="5"/>
      <c r="F96" s="5"/>
    </row>
    <row r="97" customFormat="false" ht="15" hidden="false" customHeight="false" outlineLevel="0" collapsed="false">
      <c r="A97" s="5"/>
      <c r="F97" s="5"/>
    </row>
    <row r="98" customFormat="false" ht="15" hidden="false" customHeight="false" outlineLevel="0" collapsed="false">
      <c r="A98" s="5"/>
      <c r="F98" s="5"/>
    </row>
    <row r="99" customFormat="false" ht="15" hidden="false" customHeight="false" outlineLevel="0" collapsed="false">
      <c r="A99" s="5"/>
      <c r="F99" s="5"/>
    </row>
  </sheetData>
  <mergeCells count="4">
    <mergeCell ref="A2:F2"/>
    <mergeCell ref="A3:F3"/>
    <mergeCell ref="B5:E5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2026-07-02T07:26:21Z</dcterms:created>
  <dc:creator>openpyxl</dc:creator>
  <dc:description/>
  <dc:language>en-US</dc:language>
  <cp:lastModifiedBy/>
  <dcterms:modified xsi:type="dcterms:W3CDTF">2026-07-02T07:26:39Z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